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 Submisson" sheetId="1" r:id="rId4"/>
  </sheets>
  <definedNames>
    <definedName hidden="1" localSheetId="0" name="_xlnm._FilterDatabase">'Status Submisson'!$A$2:$AK$174</definedName>
  </definedNames>
  <calcPr/>
  <extLst>
    <ext uri="GoogleSheetsCustomDataVersion2">
      <go:sheetsCustomData xmlns:go="http://customooxmlschemas.google.com/" r:id="rId5" roundtripDataChecksum="fvKvWmbUx7WOQTEAz4Yc/OXqda90tc28l9chxrdqMPo="/>
    </ext>
  </extLst>
</workbook>
</file>

<file path=xl/sharedStrings.xml><?xml version="1.0" encoding="utf-8"?>
<sst xmlns="http://schemas.openxmlformats.org/spreadsheetml/2006/main" count="733" uniqueCount="233">
  <si>
    <t>Quta Data Tracking</t>
  </si>
  <si>
    <t>NO.</t>
  </si>
  <si>
    <t>Company</t>
  </si>
  <si>
    <t>Status</t>
  </si>
  <si>
    <t>HRC
Thickness:
 ≥ 3 mm to &lt;4.75 mm</t>
  </si>
  <si>
    <t>HRC
Thickness: &lt;3 mm</t>
  </si>
  <si>
    <t>HRC / HRPO ALLOY</t>
  </si>
  <si>
    <t>BORDES ALLOY
(Wear plate)</t>
  </si>
  <si>
    <t>GI BORON</t>
  </si>
  <si>
    <t>GL BORON</t>
  </si>
  <si>
    <t>AS STEEL</t>
  </si>
  <si>
    <t>BEAM ALLOY</t>
  </si>
  <si>
    <t>GL CARBON</t>
  </si>
  <si>
    <t>PPGL CARBON</t>
  </si>
  <si>
    <t>ZAM
Thickness: ≤ 1.2 mm</t>
  </si>
  <si>
    <t>ZAM
Thickness:
 &gt;1.2 mm to ≤1.5 mm</t>
  </si>
  <si>
    <t>ZAM
Thickness: &gt;1.5 mm</t>
  </si>
  <si>
    <t>GI</t>
  </si>
  <si>
    <t>GL SLIT</t>
  </si>
  <si>
    <t>CHANNEL</t>
  </si>
  <si>
    <t>BEAM</t>
  </si>
  <si>
    <t>ANGLE</t>
  </si>
  <si>
    <t>SHEETPILE</t>
  </si>
  <si>
    <t>SHEETPILE (INTERLOCKS)</t>
  </si>
  <si>
    <t>SEAMLESS</t>
  </si>
  <si>
    <t>Hollow Pipe</t>
  </si>
  <si>
    <t>ERW PIPE
OD ≤ 140 mm</t>
  </si>
  <si>
    <t>ERW PIPE
OD &gt; 140 mm</t>
  </si>
  <si>
    <t>STRUCTURAL STEEL</t>
  </si>
  <si>
    <t>JUMLAH (MT)</t>
  </si>
  <si>
    <t>REMARKS</t>
  </si>
  <si>
    <t>REMARKS 2</t>
  </si>
  <si>
    <t>Submission</t>
  </si>
  <si>
    <t>Date</t>
  </si>
  <si>
    <t>Release</t>
  </si>
  <si>
    <t>STATUS</t>
  </si>
  <si>
    <t> </t>
  </si>
  <si>
    <t>7208.38.00</t>
  </si>
  <si>
    <t>7208.39.90</t>
  </si>
  <si>
    <t>7225.30.90</t>
  </si>
  <si>
    <t>7225.40.90</t>
  </si>
  <si>
    <t>7225.92.90</t>
  </si>
  <si>
    <t>7225.99.90</t>
  </si>
  <si>
    <t>7228.30.10</t>
  </si>
  <si>
    <t>7228.70.10</t>
  </si>
  <si>
    <t>7210.61.11</t>
  </si>
  <si>
    <t>7210.70.13</t>
  </si>
  <si>
    <t>7210.49.14</t>
  </si>
  <si>
    <t>7210.49.15</t>
  </si>
  <si>
    <t>7210.49.16</t>
  </si>
  <si>
    <t>7210.49.17</t>
  </si>
  <si>
    <t>7212.50.24</t>
  </si>
  <si>
    <t>7216.31.90</t>
  </si>
  <si>
    <t>7216.33.11</t>
  </si>
  <si>
    <t>7216.40.90</t>
  </si>
  <si>
    <t>7301.10.00</t>
  </si>
  <si>
    <t>7301.20.00</t>
  </si>
  <si>
    <t>7304.19.00</t>
  </si>
  <si>
    <t>7306.61.90</t>
  </si>
  <si>
    <t>7306.30.91</t>
  </si>
  <si>
    <t>7306.30.99</t>
  </si>
  <si>
    <t>7308.90.99</t>
  </si>
  <si>
    <t>EMS</t>
  </si>
  <si>
    <t>Submit #1</t>
  </si>
  <si>
    <t>AB</t>
  </si>
  <si>
    <t>SUBMIT MOT 30/10/25</t>
  </si>
  <si>
    <r>
      <rPr>
        <rFont val="Calibri"/>
        <b/>
        <i/>
        <color rgb="FFFF0000"/>
        <sz val="11.0"/>
      </rPr>
      <t xml:space="preserve">SPI TERBIT 7/11/25
</t>
    </r>
    <r>
      <rPr>
        <rFont val="Calibri"/>
        <b val="0"/>
        <i/>
        <color rgb="FFFF0000"/>
        <sz val="11.0"/>
      </rPr>
      <t>&gt;&gt; Target re-apply Early-April</t>
    </r>
  </si>
  <si>
    <t>Submit MOI</t>
  </si>
  <si>
    <t>PERTEK</t>
  </si>
  <si>
    <t>Obtained #1</t>
  </si>
  <si>
    <t>Submit MOT</t>
  </si>
  <si>
    <t>SPI</t>
  </si>
  <si>
    <t>Target re-apply Early-April</t>
  </si>
  <si>
    <t>Submit #2</t>
  </si>
  <si>
    <t>SUBMIT MOI Perubahan 07/04/26</t>
  </si>
  <si>
    <t>Submit MOI (Submit #2) Perubahan</t>
  </si>
  <si>
    <t>Obtained #2</t>
  </si>
  <si>
    <t>Submit MOT (Submit #2) Perubahan</t>
  </si>
  <si>
    <t>Utilization (MT)</t>
  </si>
  <si>
    <t>Available (MT)</t>
  </si>
  <si>
    <t>HDP</t>
  </si>
  <si>
    <r>
      <rPr>
        <rFont val="Calibri"/>
        <b/>
        <i/>
        <color rgb="FFFF0000"/>
        <sz val="11.0"/>
      </rPr>
      <t xml:space="preserve">SPI TERBIT 7/11/25
</t>
    </r>
    <r>
      <rPr>
        <rFont val="Calibri"/>
        <b val="0"/>
        <i/>
        <color rgb="FFFF0000"/>
        <sz val="11.0"/>
      </rPr>
      <t>&gt;&gt; Target re-apply End-Feb</t>
    </r>
  </si>
  <si>
    <t>SUBMIT MOT Perubahan 6/4/26</t>
  </si>
  <si>
    <t>PERTEK TERBIT 23/3/26</t>
  </si>
  <si>
    <t>PERTEK Perubahan</t>
  </si>
  <si>
    <t>SPI Perubahan</t>
  </si>
  <si>
    <t>Arrival - end of June</t>
  </si>
  <si>
    <t>AMP</t>
  </si>
  <si>
    <t>SUBMIT MOT 4/11/25</t>
  </si>
  <si>
    <r>
      <rPr>
        <rFont val="Calibri"/>
        <b/>
        <i/>
        <color rgb="FFFF0000"/>
        <sz val="11.0"/>
      </rPr>
      <t xml:space="preserve">SPI TERBIT 27/11/25
</t>
    </r>
    <r>
      <rPr>
        <rFont val="Calibri"/>
        <b val="0"/>
        <i/>
        <color rgb="FFFF0000"/>
        <sz val="11.0"/>
      </rPr>
      <t>&gt;&gt; Target re-apply April'26</t>
    </r>
  </si>
  <si>
    <t>Target re-apply April</t>
  </si>
  <si>
    <t>CGK</t>
  </si>
  <si>
    <t>SPI TERBIT 7/11/25</t>
  </si>
  <si>
    <t>SUBMIT MOI Perubahan 25/02/26</t>
  </si>
  <si>
    <t>Update 02/03/26 - Menunggu Disposisi Kasi</t>
  </si>
  <si>
    <t>Submit MOI Perubahan (Submit #2)</t>
  </si>
  <si>
    <t>PERTEK Perubahan (Submit #2)</t>
  </si>
  <si>
    <t>Submit MOT Perubahan (Submit #2)</t>
  </si>
  <si>
    <t>SPI Perubahan (Submit #2)</t>
  </si>
  <si>
    <t>GNG</t>
  </si>
  <si>
    <t>Submit MOTP Perubahan (Submit #2)</t>
  </si>
  <si>
    <t>MIN</t>
  </si>
  <si>
    <r>
      <rPr>
        <rFont val="Calibri"/>
        <b/>
        <i/>
        <color rgb="FFFF0000"/>
        <sz val="11.0"/>
      </rPr>
      <t xml:space="preserve">SPI TERBIT 7/11/25
</t>
    </r>
    <r>
      <rPr>
        <rFont val="Calibri"/>
        <b val="0"/>
        <i/>
        <color rgb="FFFF0000"/>
        <sz val="11.0"/>
      </rPr>
      <t>&gt;&gt; Target re-apply Early-March</t>
    </r>
  </si>
  <si>
    <t>Target re-apply Early-March</t>
  </si>
  <si>
    <t>Revision #1</t>
  </si>
  <si>
    <t>SUBMIT MOI Perubahan 30/03/26</t>
  </si>
  <si>
    <t>SUBMIT MOI Perubahan (Submit #1)</t>
  </si>
  <si>
    <t>PERTEK Perubahan (Submit #1)</t>
  </si>
  <si>
    <t>TBA</t>
  </si>
  <si>
    <t>Re-submit 18/5/26 (waiting Galangan kapal lancar)</t>
  </si>
  <si>
    <t>SUBMIT MOT Perubahan (Submit #1)</t>
  </si>
  <si>
    <t>SPI Perubahan (Submit #1)</t>
  </si>
  <si>
    <t>JKT</t>
  </si>
  <si>
    <t>SUBMIT MOT 22/12/25</t>
  </si>
  <si>
    <r>
      <rPr>
        <rFont val="Calibri"/>
        <b/>
        <i/>
        <color rgb="FFFF0000"/>
        <sz val="11.0"/>
      </rPr>
      <t xml:space="preserve">SPI TERBIT 09/01/26
</t>
    </r>
    <r>
      <rPr>
        <rFont val="Calibri"/>
        <b val="0"/>
        <i/>
        <color rgb="FFFF0000"/>
        <sz val="11.0"/>
      </rPr>
      <t>&gt;&gt; Target re-apply Mid-March</t>
    </r>
  </si>
  <si>
    <t>Arrival - end of may</t>
  </si>
  <si>
    <t>BHG</t>
  </si>
  <si>
    <t>SUBMIT MOT 5/11/25</t>
  </si>
  <si>
    <r>
      <rPr>
        <rFont val="Calibri"/>
        <b/>
        <i/>
        <color rgb="FFFF0000"/>
        <sz val="11.0"/>
      </rPr>
      <t xml:space="preserve">SPI TERBIT 5/12/25
</t>
    </r>
    <r>
      <rPr>
        <rFont val="Calibri"/>
        <b val="0"/>
        <i/>
        <color rgb="FFFF0000"/>
        <sz val="11.0"/>
      </rPr>
      <t>&gt;&gt; Target re-apply End-April</t>
    </r>
  </si>
  <si>
    <t>Target re-apply End-April</t>
  </si>
  <si>
    <t>NCT</t>
  </si>
  <si>
    <t>SUBMIT MOT 05/11/25</t>
  </si>
  <si>
    <t>SPI TERBIT 5/12/25</t>
  </si>
  <si>
    <t>BBB</t>
  </si>
  <si>
    <t>SUBMIT MOT 3/12/25</t>
  </si>
  <si>
    <r>
      <rPr>
        <rFont val="Calibri"/>
        <b/>
        <i/>
        <color rgb="FFFF0000"/>
        <sz val="11.0"/>
      </rPr>
      <t xml:space="preserve">SPI TERBIT 15/01/26
</t>
    </r>
    <r>
      <rPr>
        <rFont val="Calibri"/>
        <b val="0"/>
        <i/>
        <color rgb="FFFF0000"/>
        <sz val="11.0"/>
      </rPr>
      <t>&gt;&gt; Target re-apply Mid-March</t>
    </r>
  </si>
  <si>
    <r>
      <rPr>
        <rFont val="Calibri"/>
        <b/>
        <i/>
        <color rgb="FFFF0000"/>
        <sz val="11.0"/>
      </rPr>
      <t xml:space="preserve">SPI TERBIT 15/01/26
</t>
    </r>
    <r>
      <rPr>
        <rFont val="Calibri"/>
        <b val="0"/>
        <i/>
        <color rgb="FFFF0000"/>
        <sz val="11.0"/>
      </rPr>
      <t>&gt;&gt; Target re-apply Mid-March</t>
    </r>
  </si>
  <si>
    <t>Proses</t>
  </si>
  <si>
    <t>GKL</t>
  </si>
  <si>
    <t>SUBMIT MOT 26/11/2025</t>
  </si>
  <si>
    <r>
      <rPr>
        <rFont val="Calibri"/>
        <b/>
        <i/>
        <color rgb="FFFF0000"/>
        <sz val="11.0"/>
      </rPr>
      <t xml:space="preserve">SPI TERBIT 24/12/25
</t>
    </r>
    <r>
      <rPr>
        <rFont val="Calibri"/>
        <b val="0"/>
        <i/>
        <color rgb="FFFF0000"/>
        <sz val="11.0"/>
      </rPr>
      <t>&gt;&gt; Target re-apply End-April</t>
    </r>
  </si>
  <si>
    <t>Submit MOI Perubahan (Revision #1)</t>
  </si>
  <si>
    <t>PERTEK Perubahan (Revision #1)</t>
  </si>
  <si>
    <t>Submit MOT Perubahan (Revision #1)</t>
  </si>
  <si>
    <t>SPI Perubahan (Revision #1)</t>
  </si>
  <si>
    <t>GAS</t>
  </si>
  <si>
    <t>SPI TERBIT 09/01/26</t>
  </si>
  <si>
    <t>KJK</t>
  </si>
  <si>
    <t>SUBMIT MOT 03/12/25</t>
  </si>
  <si>
    <r>
      <rPr>
        <rFont val="Calibri"/>
        <b/>
        <i/>
        <color rgb="FFFF0000"/>
        <sz val="11.0"/>
      </rPr>
      <t xml:space="preserve">SPI TERBIT 31/12/25
</t>
    </r>
    <r>
      <rPr>
        <rFont val="Calibri"/>
        <b val="0"/>
        <i/>
        <color rgb="FFFF0000"/>
        <sz val="11.0"/>
      </rPr>
      <t>&gt;&gt; Target re-apply Mid-March</t>
    </r>
  </si>
  <si>
    <t>HKG</t>
  </si>
  <si>
    <r>
      <rPr>
        <rFont val="Calibri"/>
        <b/>
        <i/>
        <color rgb="FFFF0000"/>
        <sz val="11.0"/>
      </rPr>
      <t xml:space="preserve">SPI TERBIT 31/12/25
</t>
    </r>
    <r>
      <rPr>
        <rFont val="Calibri"/>
        <b val="0"/>
        <i/>
        <color rgb="FFFF0000"/>
        <sz val="11.0"/>
      </rPr>
      <t>&gt;&gt; Target re-apply Early-March</t>
    </r>
  </si>
  <si>
    <t>SPA</t>
  </si>
  <si>
    <t>CD</t>
  </si>
  <si>
    <r>
      <rPr>
        <rFont val="Calibri"/>
        <b/>
        <i/>
        <color rgb="FFFF0000"/>
        <sz val="11.0"/>
      </rPr>
      <t xml:space="preserve">SPI TERBIT 13/01/26
</t>
    </r>
    <r>
      <rPr>
        <rFont val="Calibri"/>
        <b val="0"/>
        <i/>
        <color rgb="FFFF0000"/>
        <sz val="11.0"/>
      </rPr>
      <t>&gt;&gt; Target re-apply Early-March</t>
    </r>
  </si>
  <si>
    <t>ADP</t>
  </si>
  <si>
    <t>SUBMIT MOT 21/11/25</t>
  </si>
  <si>
    <r>
      <rPr>
        <rFont val="Calibri"/>
        <b/>
        <i/>
        <color rgb="FFFF0000"/>
        <sz val="11.0"/>
      </rPr>
      <t xml:space="preserve">SPI TERBIT 16/12/25
</t>
    </r>
    <r>
      <rPr>
        <rFont val="Calibri"/>
        <b val="0"/>
        <i/>
        <color rgb="FFFF0000"/>
        <sz val="11.0"/>
      </rPr>
      <t>&gt;&gt; Target re-apply Mid-March</t>
    </r>
  </si>
  <si>
    <t>MSN</t>
  </si>
  <si>
    <t>SUBMIT MOT 09/12/25</t>
  </si>
  <si>
    <r>
      <rPr>
        <rFont val="Calibri"/>
        <b/>
        <i/>
        <color rgb="FFFF0000"/>
        <sz val="11.0"/>
      </rPr>
      <t xml:space="preserve">SPI TERBIT 06/01/26
</t>
    </r>
    <r>
      <rPr>
        <rFont val="Calibri"/>
        <b val="0"/>
        <i/>
        <color rgb="FFFF0000"/>
        <sz val="11.0"/>
      </rPr>
      <t>&gt;&gt; Target re-apply Early-March</t>
    </r>
  </si>
  <si>
    <t>SPP</t>
  </si>
  <si>
    <t>SPI TERBIT 16/12/25</t>
  </si>
  <si>
    <t>LCP</t>
  </si>
  <si>
    <r>
      <rPr>
        <rFont val="Calibri"/>
        <b/>
        <i/>
        <color rgb="FFFF0000"/>
        <sz val="11.0"/>
      </rPr>
      <t xml:space="preserve">SPI TERBIT 16/12/25
</t>
    </r>
    <r>
      <rPr>
        <rFont val="Calibri"/>
        <b val="0"/>
        <i/>
        <color rgb="FFFF0000"/>
        <sz val="11.0"/>
      </rPr>
      <t>&gt;&gt; Target re-apply Mid-March</t>
    </r>
  </si>
  <si>
    <t>KAN</t>
  </si>
  <si>
    <t>SPI TERBIT 05/01/26</t>
  </si>
  <si>
    <t>LSJ</t>
  </si>
  <si>
    <t>DIOR</t>
  </si>
  <si>
    <t>SUBMIT MOT 04/06/26</t>
  </si>
  <si>
    <t>PERTEK TERBIT 3/12/25</t>
  </si>
  <si>
    <t>After SPI Terbit, change to GI Boron 100 MT</t>
  </si>
  <si>
    <t>MJU</t>
  </si>
  <si>
    <t>SUBMIT MOT Perubahan 06/04/26</t>
  </si>
  <si>
    <t>PERTEK Perubahan Terbit 04/02/26</t>
  </si>
  <si>
    <t>SPI Perubahan (Revision #1)
06-MAY-26</t>
  </si>
  <si>
    <t>Revision #2</t>
  </si>
  <si>
    <t>Submit MOI Perubahan (Revision #2)</t>
  </si>
  <si>
    <t>PERTEK Perubahan (Revision #2)</t>
  </si>
  <si>
    <t>Submit MOT Perubahan (Revision #2)</t>
  </si>
  <si>
    <t>SPI Perubahan (Revision #2)</t>
  </si>
  <si>
    <t>SJH</t>
  </si>
  <si>
    <t>SUBMIT MOT 12/12/25</t>
  </si>
  <si>
    <r>
      <rPr>
        <rFont val="Calibri"/>
        <b/>
        <i/>
        <color rgb="FFFF0000"/>
        <sz val="11.0"/>
      </rPr>
      <t xml:space="preserve">SPI TERBIT 06/01/26
</t>
    </r>
    <r>
      <rPr>
        <rFont val="Calibri"/>
        <b val="0"/>
        <i/>
        <color rgb="FFFF0000"/>
        <sz val="11.0"/>
      </rPr>
      <t>&gt;&gt; Target re-apply Early-March</t>
    </r>
  </si>
  <si>
    <t>Re-submit on 25/526 due to Permintaan dokumen tambahan</t>
  </si>
  <si>
    <t>BDG</t>
  </si>
  <si>
    <t>SUBMIT MOT 23/12/25</t>
  </si>
  <si>
    <t>SPI TERBIT 13/01/26</t>
  </si>
  <si>
    <t>SUBMIT MOT Perubahan 6/04/26</t>
  </si>
  <si>
    <t>PERTEK TERBIT 25/03/26</t>
  </si>
  <si>
    <t>SPI Perubahan (Revision 2)</t>
  </si>
  <si>
    <t>SGD</t>
  </si>
  <si>
    <t>SUBMIT MOT 20/01/26</t>
  </si>
  <si>
    <r>
      <rPr>
        <rFont val="Calibri"/>
        <b/>
        <i/>
        <color rgb="FFFF0000"/>
        <sz val="11.0"/>
      </rPr>
      <t xml:space="preserve">SPI TERBIT 28/01/26
</t>
    </r>
    <r>
      <rPr>
        <rFont val="Calibri"/>
        <b val="0"/>
        <i/>
        <color rgb="FFFF0000"/>
        <sz val="11.0"/>
      </rPr>
      <t>&gt;&gt; Target re-apply Early-March</t>
    </r>
  </si>
  <si>
    <t>BTS</t>
  </si>
  <si>
    <t>SUBMIT MOT 26/02/26</t>
  </si>
  <si>
    <t>SPI TERBIT 04/03/26</t>
  </si>
  <si>
    <t>DONE</t>
  </si>
  <si>
    <t>SMS</t>
  </si>
  <si>
    <t>SUBMIT MOT 27/02/26</t>
  </si>
  <si>
    <t>SPI TERBIT 05/03/26</t>
  </si>
  <si>
    <t>GIS</t>
  </si>
  <si>
    <t>NORMATIF</t>
  </si>
  <si>
    <t>SUBMIT MOT 04/03/26</t>
  </si>
  <si>
    <t>SPI TERBIT 09/03/26</t>
  </si>
  <si>
    <t>Update 17/05/26 - Permintaan Dokumen Tambahan. Saat ini di hold dulu, waiting Sales confirmation</t>
  </si>
  <si>
    <t>AADC</t>
  </si>
  <si>
    <t>SUBMIT MOI 02/02/26</t>
  </si>
  <si>
    <t>Update 12/02/26 - Menunggu Persetujuan Kasubdit</t>
  </si>
  <si>
    <t>KARA</t>
  </si>
  <si>
    <t>SUBMIT MOI 05/11/25</t>
  </si>
  <si>
    <t>Update 19/11/25 - Permintaan kelengkapan data tambahan</t>
  </si>
  <si>
    <t>SPI submission is being hold, waiting address changes</t>
  </si>
  <si>
    <t>PPGL</t>
  </si>
  <si>
    <t>Update 12/02/26 - Permintaan data tambahan</t>
  </si>
  <si>
    <t>SNSD</t>
  </si>
  <si>
    <t>SUBMIT MOI 06/04/26</t>
  </si>
  <si>
    <t>IKM</t>
  </si>
  <si>
    <t>Total Submit (MT)</t>
  </si>
  <si>
    <t>Total Obtained (MT)</t>
  </si>
  <si>
    <t>Total Utilization (MT)</t>
  </si>
  <si>
    <t>Total Available (MT)</t>
  </si>
  <si>
    <t>Remarks</t>
  </si>
  <si>
    <t>- Submit #1</t>
  </si>
  <si>
    <t>:</t>
  </si>
  <si>
    <t xml:space="preserve">1st submission </t>
  </si>
  <si>
    <t>- Obtained #1</t>
  </si>
  <si>
    <t xml:space="preserve">1st obtained from Submit #1 </t>
  </si>
  <si>
    <t>- Submit #2</t>
  </si>
  <si>
    <t>2nd submission (can be the same products/hscode or different product/hscode)</t>
  </si>
  <si>
    <t>- Obtained #2</t>
  </si>
  <si>
    <t>2nd obtained from Submit #2 ; TBA means it still on process</t>
  </si>
  <si>
    <t>- Revision #1</t>
  </si>
  <si>
    <t>1st changes of product from the quota obtained</t>
  </si>
  <si>
    <t>- Submit (Process)</t>
  </si>
  <si>
    <t>1st submission and still on progress, we hasn't grant the quota (MT) yet</t>
  </si>
  <si>
    <t>- PERTEK Terbit</t>
  </si>
  <si>
    <t>PERTEK is release and the quota has been granted. But the SPI has not been initiate</t>
  </si>
  <si>
    <t>- SPI Terbit</t>
  </si>
  <si>
    <t xml:space="preserve">The SPI is released, and ready to use for import license </t>
  </si>
  <si>
    <t>- Available Quota</t>
  </si>
  <si>
    <t xml:space="preserve">: </t>
  </si>
  <si>
    <t>Based on obtained quota MT (on PERTEK TERBIT) - utilization (MT)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</si>
</sst>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.0_-;\-* #,##0.0_-;_-* &quot;-&quot;??_-;_-@"/>
  </numFmts>
  <fonts count="10">
    <font>
      <sz val="11.0"/>
      <color theme="1"/>
      <name val="Aptos Narrow"/>
      <scheme val="minor"/>
    </font>
    <font>
      <b/>
      <i/>
      <sz val="18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/>
    <font>
      <sz val="11.0"/>
      <color theme="1"/>
      <name val="Calibri"/>
    </font>
    <font>
      <i/>
      <sz val="11.0"/>
      <color theme="1"/>
      <name val="Calibri"/>
    </font>
    <font>
      <b/>
      <i/>
      <sz val="11.0"/>
      <color rgb="FFFF0000"/>
      <name val="Calibri"/>
    </font>
    <font>
      <b/>
      <sz val="9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CAEDFB"/>
        <bgColor rgb="FFCAEDFB"/>
      </patternFill>
    </fill>
    <fill>
      <patternFill patternType="solid">
        <fgColor rgb="FF00FF00"/>
        <bgColor rgb="FF00FF00"/>
      </patternFill>
    </fill>
    <fill>
      <patternFill patternType="solid">
        <fgColor rgb="FF00FFCC"/>
        <bgColor rgb="FF00FF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7E1F5"/>
        <bgColor rgb="FFF7E1F5"/>
      </patternFill>
    </fill>
    <fill>
      <patternFill patternType="solid">
        <fgColor rgb="FFD9F2D0"/>
        <bgColor rgb="FFD9F2D0"/>
      </patternFill>
    </fill>
    <fill>
      <patternFill patternType="solid">
        <fgColor rgb="FFD9EAD3"/>
        <bgColor rgb="FFD9EAD3"/>
      </patternFill>
    </fill>
    <fill>
      <patternFill patternType="solid">
        <fgColor rgb="FFFFFF99"/>
        <bgColor rgb="FFFFFF99"/>
      </patternFill>
    </fill>
    <fill>
      <patternFill patternType="solid">
        <fgColor rgb="FFFAE2D5"/>
        <bgColor rgb="FFFAE2D5"/>
      </patternFill>
    </fill>
    <fill>
      <patternFill patternType="solid">
        <fgColor rgb="FFFB9BC2"/>
        <bgColor rgb="FFFB9BC2"/>
      </patternFill>
    </fill>
  </fills>
  <borders count="15">
    <border/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2" fontId="4" numFmtId="0" xfId="0" applyBorder="1" applyFont="1"/>
    <xf borderId="6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shrinkToFit="0" vertical="center" wrapText="1"/>
    </xf>
    <xf borderId="7" fillId="4" fontId="6" numFmtId="0" xfId="0" applyAlignment="1" applyBorder="1" applyFill="1" applyFont="1">
      <alignment horizontal="center" vertical="center"/>
    </xf>
    <xf borderId="7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vertical="top"/>
    </xf>
    <xf borderId="6" fillId="4" fontId="6" numFmtId="0" xfId="0" applyAlignment="1" applyBorder="1" applyFont="1">
      <alignment vertical="top"/>
    </xf>
    <xf borderId="6" fillId="4" fontId="6" numFmtId="3" xfId="0" applyAlignment="1" applyBorder="1" applyFont="1" applyNumberFormat="1">
      <alignment horizontal="right" vertical="top"/>
    </xf>
    <xf borderId="6" fillId="4" fontId="6" numFmtId="3" xfId="0" applyAlignment="1" applyBorder="1" applyFont="1" applyNumberFormat="1">
      <alignment vertical="top"/>
    </xf>
    <xf borderId="6" fillId="5" fontId="3" numFmtId="3" xfId="0" applyAlignment="1" applyBorder="1" applyFill="1" applyFont="1" applyNumberFormat="1">
      <alignment horizontal="right" vertical="top"/>
    </xf>
    <xf borderId="7" fillId="4" fontId="7" numFmtId="0" xfId="0" applyAlignment="1" applyBorder="1" applyFont="1">
      <alignment horizontal="left" shrinkToFit="0" vertical="center" wrapText="1"/>
    </xf>
    <xf borderId="7" fillId="4" fontId="8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center" vertical="center"/>
    </xf>
    <xf borderId="6" fillId="0" fontId="6" numFmtId="15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shrinkToFit="0" wrapText="1"/>
    </xf>
    <xf borderId="8" fillId="0" fontId="5" numFmtId="0" xfId="0" applyBorder="1" applyFont="1"/>
    <xf borderId="6" fillId="6" fontId="3" numFmtId="3" xfId="0" applyAlignment="1" applyBorder="1" applyFill="1" applyFont="1" applyNumberFormat="1">
      <alignment horizontal="right" vertical="top"/>
    </xf>
    <xf borderId="6" fillId="4" fontId="3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center" wrapText="1"/>
    </xf>
    <xf borderId="6" fillId="7" fontId="3" numFmtId="3" xfId="0" applyAlignment="1" applyBorder="1" applyFill="1" applyFont="1" applyNumberFormat="1">
      <alignment horizontal="right" vertical="top"/>
    </xf>
    <xf borderId="9" fillId="4" fontId="7" numFmtId="0" xfId="0" applyAlignment="1" applyBorder="1" applyFont="1">
      <alignment horizontal="left" shrinkToFit="0" vertical="center" wrapText="1"/>
    </xf>
    <xf borderId="9" fillId="4" fontId="8" numFmtId="0" xfId="0" applyAlignment="1" applyBorder="1" applyFont="1">
      <alignment horizontal="left" shrinkToFit="0" vertical="center" wrapText="1"/>
    </xf>
    <xf borderId="6" fillId="8" fontId="3" numFmtId="3" xfId="0" applyAlignment="1" applyBorder="1" applyFill="1" applyFont="1" applyNumberFormat="1">
      <alignment horizontal="right" vertical="top"/>
    </xf>
    <xf borderId="7" fillId="9" fontId="6" numFmtId="0" xfId="0" applyAlignment="1" applyBorder="1" applyFill="1" applyFont="1">
      <alignment horizontal="center" vertical="center"/>
    </xf>
    <xf borderId="7" fillId="9" fontId="3" numFmtId="0" xfId="0" applyAlignment="1" applyBorder="1" applyFont="1">
      <alignment horizontal="center" vertical="center"/>
    </xf>
    <xf borderId="6" fillId="9" fontId="3" numFmtId="0" xfId="0" applyAlignment="1" applyBorder="1" applyFont="1">
      <alignment horizontal="center" vertical="top"/>
    </xf>
    <xf borderId="6" fillId="9" fontId="6" numFmtId="0" xfId="0" applyAlignment="1" applyBorder="1" applyFont="1">
      <alignment vertical="top"/>
    </xf>
    <xf borderId="6" fillId="9" fontId="6" numFmtId="3" xfId="0" applyAlignment="1" applyBorder="1" applyFont="1" applyNumberFormat="1">
      <alignment horizontal="right" vertical="top"/>
    </xf>
    <xf borderId="6" fillId="9" fontId="6" numFmtId="3" xfId="0" applyAlignment="1" applyBorder="1" applyFont="1" applyNumberFormat="1">
      <alignment vertical="top"/>
    </xf>
    <xf borderId="7" fillId="9" fontId="7" numFmtId="0" xfId="0" applyAlignment="1" applyBorder="1" applyFont="1">
      <alignment horizontal="left" shrinkToFit="0" vertical="center" wrapText="1"/>
    </xf>
    <xf borderId="7" fillId="9" fontId="8" numFmtId="0" xfId="0" applyAlignment="1" applyBorder="1" applyFont="1">
      <alignment horizontal="left" shrinkToFit="0" vertical="center" wrapText="1"/>
    </xf>
    <xf borderId="6" fillId="9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wrapText="1"/>
    </xf>
    <xf borderId="9" fillId="9" fontId="7" numFmtId="0" xfId="0" applyAlignment="1" applyBorder="1" applyFont="1">
      <alignment horizontal="left" shrinkToFit="0" vertical="center" wrapText="1"/>
    </xf>
    <xf borderId="9" fillId="9" fontId="8" numFmtId="0" xfId="0" applyAlignment="1" applyBorder="1" applyFont="1">
      <alignment horizontal="left" shrinkToFit="0" vertical="center" wrapText="1"/>
    </xf>
    <xf borderId="7" fillId="9" fontId="6" numFmtId="0" xfId="0" applyAlignment="1" applyBorder="1" applyFont="1">
      <alignment horizontal="center" vertical="top"/>
    </xf>
    <xf borderId="7" fillId="9" fontId="3" numFmtId="0" xfId="0" applyAlignment="1" applyBorder="1" applyFont="1">
      <alignment horizontal="center" vertical="top"/>
    </xf>
    <xf borderId="10" fillId="0" fontId="5" numFmtId="0" xfId="0" applyBorder="1" applyFont="1"/>
    <xf borderId="6" fillId="9" fontId="3" numFmtId="0" xfId="0" applyAlignment="1" applyBorder="1" applyFont="1">
      <alignment horizontal="center" shrinkToFit="0" vertical="center" wrapText="1"/>
    </xf>
    <xf borderId="9" fillId="9" fontId="3" numFmtId="0" xfId="0" applyAlignment="1" applyBorder="1" applyFont="1">
      <alignment horizontal="center" vertical="top"/>
    </xf>
    <xf borderId="7" fillId="10" fontId="6" numFmtId="0" xfId="0" applyAlignment="1" applyBorder="1" applyFill="1" applyFont="1">
      <alignment horizontal="center" vertical="top"/>
    </xf>
    <xf borderId="7" fillId="10" fontId="3" numFmtId="0" xfId="0" applyAlignment="1" applyBorder="1" applyFont="1">
      <alignment horizontal="center" vertical="top"/>
    </xf>
    <xf borderId="6" fillId="10" fontId="3" numFmtId="0" xfId="0" applyAlignment="1" applyBorder="1" applyFont="1">
      <alignment horizontal="center" vertical="top"/>
    </xf>
    <xf borderId="6" fillId="10" fontId="6" numFmtId="0" xfId="0" applyAlignment="1" applyBorder="1" applyFont="1">
      <alignment vertical="top"/>
    </xf>
    <xf borderId="6" fillId="10" fontId="6" numFmtId="3" xfId="0" applyAlignment="1" applyBorder="1" applyFont="1" applyNumberFormat="1">
      <alignment horizontal="right" vertical="top"/>
    </xf>
    <xf borderId="6" fillId="10" fontId="6" numFmtId="3" xfId="0" applyAlignment="1" applyBorder="1" applyFont="1" applyNumberFormat="1">
      <alignment vertical="top"/>
    </xf>
    <xf borderId="7" fillId="10" fontId="7" numFmtId="0" xfId="0" applyAlignment="1" applyBorder="1" applyFont="1">
      <alignment horizontal="left" shrinkToFit="0" vertical="center" wrapText="1"/>
    </xf>
    <xf borderId="7" fillId="10" fontId="8" numFmtId="0" xfId="0" applyAlignment="1" applyBorder="1" applyFont="1">
      <alignment horizontal="left" shrinkToFit="0" vertical="center" wrapText="1"/>
    </xf>
    <xf borderId="9" fillId="10" fontId="3" numFmtId="0" xfId="0" applyAlignment="1" applyBorder="1" applyFont="1">
      <alignment horizontal="center" vertical="top"/>
    </xf>
    <xf borderId="6" fillId="10" fontId="6" numFmtId="164" xfId="0" applyAlignment="1" applyBorder="1" applyFont="1" applyNumberFormat="1">
      <alignment horizontal="right" vertical="top"/>
    </xf>
    <xf borderId="6" fillId="10" fontId="6" numFmtId="4" xfId="0" applyAlignment="1" applyBorder="1" applyFont="1" applyNumberFormat="1">
      <alignment horizontal="right" vertical="top"/>
    </xf>
    <xf borderId="6" fillId="10" fontId="3" numFmtId="3" xfId="0" applyAlignment="1" applyBorder="1" applyFont="1" applyNumberFormat="1">
      <alignment horizontal="right" vertical="top"/>
    </xf>
    <xf borderId="9" fillId="10" fontId="7" numFmtId="0" xfId="0" applyAlignment="1" applyBorder="1" applyFont="1">
      <alignment horizontal="left" shrinkToFit="0" vertical="center" wrapText="1"/>
    </xf>
    <xf borderId="9" fillId="10" fontId="8" numFmtId="0" xfId="0" applyAlignment="1" applyBorder="1" applyFont="1">
      <alignment horizontal="left" shrinkToFit="0" vertical="center" wrapText="1"/>
    </xf>
    <xf borderId="6" fillId="10" fontId="3" numFmtId="0" xfId="0" applyAlignment="1" applyBorder="1" applyFont="1">
      <alignment horizontal="center" shrinkToFit="0" vertical="center" wrapText="1"/>
    </xf>
    <xf borderId="6" fillId="10" fontId="6" numFmtId="4" xfId="0" applyAlignment="1" applyBorder="1" applyFont="1" applyNumberFormat="1">
      <alignment horizontal="right" readingOrder="0" vertical="top"/>
    </xf>
    <xf borderId="6" fillId="4" fontId="3" numFmtId="0" xfId="0" applyAlignment="1" applyBorder="1" applyFont="1">
      <alignment horizontal="center" readingOrder="0" vertical="top"/>
    </xf>
    <xf borderId="7" fillId="10" fontId="6" numFmtId="0" xfId="0" applyAlignment="1" applyBorder="1" applyFont="1">
      <alignment horizontal="center" vertical="center"/>
    </xf>
    <xf borderId="7" fillId="10" fontId="3" numFmtId="0" xfId="0" applyAlignment="1" applyBorder="1" applyFont="1">
      <alignment horizontal="center" vertical="center"/>
    </xf>
    <xf borderId="11" fillId="10" fontId="7" numFmtId="0" xfId="0" applyAlignment="1" applyBorder="1" applyFont="1">
      <alignment horizontal="left" shrinkToFit="0" vertical="center" wrapText="1"/>
    </xf>
    <xf borderId="6" fillId="10" fontId="3" numFmtId="0" xfId="0" applyAlignment="1" applyBorder="1" applyFont="1">
      <alignment horizontal="center" shrinkToFit="0" vertical="top" wrapText="1"/>
    </xf>
    <xf borderId="6" fillId="10" fontId="6" numFmtId="165" xfId="0" applyAlignment="1" applyBorder="1" applyFont="1" applyNumberFormat="1">
      <alignment horizontal="right" vertical="top"/>
    </xf>
    <xf borderId="9" fillId="10" fontId="7" numFmtId="0" xfId="0" applyAlignment="1" applyBorder="1" applyFont="1">
      <alignment horizontal="center" shrinkToFit="0" vertical="center" wrapText="1"/>
    </xf>
    <xf borderId="6" fillId="4" fontId="6" numFmtId="3" xfId="0" applyAlignment="1" applyBorder="1" applyFont="1" applyNumberFormat="1">
      <alignment readingOrder="0" vertical="top"/>
    </xf>
    <xf borderId="6" fillId="0" fontId="6" numFmtId="15" xfId="0" applyAlignment="1" applyBorder="1" applyFont="1" applyNumberFormat="1">
      <alignment horizontal="center" readingOrder="0" vertical="center"/>
    </xf>
    <xf borderId="6" fillId="9" fontId="3" numFmtId="0" xfId="0" applyAlignment="1" applyBorder="1" applyFont="1">
      <alignment horizontal="center" vertical="center"/>
    </xf>
    <xf borderId="7" fillId="11" fontId="6" numFmtId="0" xfId="0" applyAlignment="1" applyBorder="1" applyFill="1" applyFont="1">
      <alignment horizontal="center" vertical="center"/>
    </xf>
    <xf borderId="7" fillId="11" fontId="3" numFmtId="0" xfId="0" applyAlignment="1" applyBorder="1" applyFont="1">
      <alignment horizontal="center" vertical="center"/>
    </xf>
    <xf borderId="6" fillId="11" fontId="3" numFmtId="0" xfId="0" applyAlignment="1" applyBorder="1" applyFont="1">
      <alignment horizontal="center" vertical="center"/>
    </xf>
    <xf borderId="6" fillId="11" fontId="6" numFmtId="0" xfId="0" applyAlignment="1" applyBorder="1" applyFont="1">
      <alignment vertical="top"/>
    </xf>
    <xf borderId="6" fillId="11" fontId="6" numFmtId="3" xfId="0" applyAlignment="1" applyBorder="1" applyFont="1" applyNumberFormat="1">
      <alignment horizontal="right" vertical="top"/>
    </xf>
    <xf borderId="6" fillId="11" fontId="6" numFmtId="3" xfId="0" applyAlignment="1" applyBorder="1" applyFont="1" applyNumberFormat="1">
      <alignment vertical="top"/>
    </xf>
    <xf borderId="6" fillId="11" fontId="3" numFmtId="0" xfId="0" applyAlignment="1" applyBorder="1" applyFont="1">
      <alignment horizontal="center" vertical="top"/>
    </xf>
    <xf borderId="6" fillId="11" fontId="3" numFmtId="3" xfId="0" applyAlignment="1" applyBorder="1" applyFont="1" applyNumberFormat="1">
      <alignment horizontal="right" vertical="top"/>
    </xf>
    <xf borderId="11" fillId="9" fontId="7" numFmtId="0" xfId="0" applyAlignment="1" applyBorder="1" applyFont="1">
      <alignment horizontal="left" shrinkToFit="0" vertical="center" wrapText="1"/>
    </xf>
    <xf borderId="6" fillId="11" fontId="3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readingOrder="0" shrinkToFit="0" wrapText="1"/>
    </xf>
    <xf borderId="6" fillId="5" fontId="6" numFmtId="0" xfId="0" applyAlignment="1" applyBorder="1" applyFont="1">
      <alignment vertical="top"/>
    </xf>
    <xf borderId="6" fillId="6" fontId="6" numFmtId="0" xfId="0" applyAlignment="1" applyBorder="1" applyFont="1">
      <alignment vertical="top"/>
    </xf>
    <xf borderId="11" fillId="10" fontId="2" numFmtId="0" xfId="0" applyAlignment="1" applyBorder="1" applyFont="1">
      <alignment horizontal="left" shrinkToFit="0" vertical="center" wrapText="1"/>
    </xf>
    <xf borderId="9" fillId="10" fontId="2" numFmtId="0" xfId="0" applyAlignment="1" applyBorder="1" applyFont="1">
      <alignment horizontal="left" shrinkToFit="0" vertical="center" wrapText="1"/>
    </xf>
    <xf borderId="6" fillId="7" fontId="6" numFmtId="0" xfId="0" applyAlignment="1" applyBorder="1" applyFont="1">
      <alignment vertical="top"/>
    </xf>
    <xf borderId="6" fillId="10" fontId="6" numFmtId="0" xfId="0" applyAlignment="1" applyBorder="1" applyFont="1">
      <alignment readingOrder="0" vertical="top"/>
    </xf>
    <xf borderId="6" fillId="8" fontId="3" numFmtId="0" xfId="0" applyAlignment="1" applyBorder="1" applyFont="1">
      <alignment vertical="top"/>
    </xf>
    <xf borderId="6" fillId="0" fontId="3" numFmtId="0" xfId="0" applyAlignment="1" applyBorder="1" applyFont="1">
      <alignment shrinkToFit="0" vertical="center" wrapText="1"/>
    </xf>
    <xf borderId="6" fillId="9" fontId="6" numFmtId="3" xfId="0" applyAlignment="1" applyBorder="1" applyFont="1" applyNumberFormat="1">
      <alignment horizontal="right" readingOrder="0" vertical="top"/>
    </xf>
    <xf borderId="7" fillId="10" fontId="9" numFmtId="0" xfId="0" applyAlignment="1" applyBorder="1" applyFont="1">
      <alignment horizontal="center" shrinkToFit="0" vertical="center" wrapText="1"/>
    </xf>
    <xf borderId="6" fillId="10" fontId="3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7" fillId="9" fontId="9" numFmtId="0" xfId="0" applyAlignment="1" applyBorder="1" applyFont="1">
      <alignment horizontal="center" shrinkToFit="0" vertical="center" wrapText="1"/>
    </xf>
    <xf borderId="7" fillId="12" fontId="6" numFmtId="0" xfId="0" applyAlignment="1" applyBorder="1" applyFill="1" applyFont="1">
      <alignment horizontal="left" vertical="center"/>
    </xf>
    <xf borderId="7" fillId="12" fontId="3" numFmtId="0" xfId="0" applyAlignment="1" applyBorder="1" applyFont="1">
      <alignment horizontal="left" vertical="center"/>
    </xf>
    <xf borderId="6" fillId="12" fontId="3" numFmtId="0" xfId="0" applyAlignment="1" applyBorder="1" applyFont="1">
      <alignment horizontal="center" shrinkToFit="0" vertical="top" wrapText="1"/>
    </xf>
    <xf borderId="7" fillId="12" fontId="3" numFmtId="0" xfId="0" applyAlignment="1" applyBorder="1" applyFont="1">
      <alignment horizontal="center" vertical="center"/>
    </xf>
    <xf borderId="6" fillId="12" fontId="6" numFmtId="0" xfId="0" applyAlignment="1" applyBorder="1" applyFont="1">
      <alignment vertical="top"/>
    </xf>
    <xf borderId="6" fillId="12" fontId="6" numFmtId="3" xfId="0" applyAlignment="1" applyBorder="1" applyFont="1" applyNumberFormat="1">
      <alignment horizontal="right" vertical="top"/>
    </xf>
    <xf borderId="6" fillId="12" fontId="6" numFmtId="3" xfId="0" applyAlignment="1" applyBorder="1" applyFont="1" applyNumberFormat="1">
      <alignment vertical="top"/>
    </xf>
    <xf borderId="6" fillId="12" fontId="7" numFmtId="0" xfId="0" applyAlignment="1" applyBorder="1" applyFont="1">
      <alignment horizontal="center" shrinkToFit="0" vertical="top" wrapText="1"/>
    </xf>
    <xf borderId="6" fillId="12" fontId="7" numFmtId="0" xfId="0" applyAlignment="1" applyBorder="1" applyFont="1">
      <alignment shrinkToFit="0" vertical="top" wrapText="1"/>
    </xf>
    <xf borderId="12" fillId="8" fontId="3" numFmtId="0" xfId="0" applyAlignment="1" applyBorder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6" fillId="0" fontId="6" numFmtId="3" xfId="0" applyBorder="1" applyFont="1" applyNumberFormat="1"/>
    <xf borderId="6" fillId="0" fontId="3" numFmtId="3" xfId="0" applyBorder="1" applyFont="1" applyNumberFormat="1"/>
    <xf borderId="6" fillId="0" fontId="6" numFmtId="0" xfId="0" applyBorder="1" applyFont="1"/>
    <xf borderId="0" fillId="0" fontId="6" numFmtId="0" xfId="0" applyFont="1"/>
    <xf borderId="12" fillId="7" fontId="3" numFmtId="0" xfId="0" applyAlignment="1" applyBorder="1" applyFont="1">
      <alignment horizontal="center" vertical="center"/>
    </xf>
    <xf borderId="0" fillId="0" fontId="6" numFmtId="9" xfId="0" applyFont="1" applyNumberFormat="1"/>
    <xf borderId="12" fillId="13" fontId="3" numFmtId="0" xfId="0" applyAlignment="1" applyBorder="1" applyFill="1" applyFont="1">
      <alignment horizontal="center" vertical="center"/>
    </xf>
    <xf borderId="12" fillId="14" fontId="3" numFmtId="0" xfId="0" applyAlignment="1" applyBorder="1" applyFill="1" applyFont="1">
      <alignment horizontal="center" vertical="center"/>
    </xf>
    <xf borderId="6" fillId="0" fontId="3" numFmtId="4" xfId="0" applyBorder="1" applyFont="1" applyNumberFormat="1"/>
    <xf borderId="0" fillId="0" fontId="6" numFmtId="3" xfId="0" applyFont="1" applyNumberFormat="1"/>
    <xf borderId="0" fillId="0" fontId="3" numFmtId="3" xfId="0" applyFont="1" applyNumberFormat="1"/>
    <xf quotePrefix="1" borderId="0" fillId="0" fontId="6" numFmtId="0" xfId="0" applyFont="1"/>
    <xf borderId="0" fillId="0" fontId="6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Col="1"/>
  <cols>
    <col customWidth="1" min="1" max="1" width="4.5"/>
    <col customWidth="1" min="2" max="2" width="5.25"/>
    <col customWidth="1" min="3" max="3" width="12.25"/>
    <col customWidth="1" min="4" max="4" width="8.88"/>
    <col customWidth="1" hidden="1" min="5" max="6" width="10.63" outlineLevel="1"/>
    <col customWidth="1" min="7" max="11" width="10.63" outlineLevel="1"/>
    <col customWidth="1" hidden="1" min="12" max="13" width="10.63" outlineLevel="1"/>
    <col customWidth="1" min="14" max="14" width="10.63" outlineLevel="1"/>
    <col customWidth="1" hidden="1" min="15" max="22" width="10.63" outlineLevel="1"/>
    <col customWidth="1" min="23" max="23" width="12.13" outlineLevel="1"/>
    <col customWidth="1" hidden="1" min="24" max="24" width="13.63" outlineLevel="1"/>
    <col customWidth="1" min="25" max="28" width="10.63" outlineLevel="1"/>
    <col customWidth="1" hidden="1" min="29" max="29" width="10.63" outlineLevel="1"/>
    <col customWidth="1" min="30" max="30" width="10.63"/>
    <col customWidth="1" hidden="1" min="31" max="31" width="29.5"/>
    <col customWidth="1" hidden="1" min="32" max="32" width="39.38"/>
    <col customWidth="1" min="33" max="33" width="23.25"/>
    <col customWidth="1" min="34" max="34" width="14.25"/>
    <col customWidth="1" min="35" max="35" width="17.5"/>
    <col customWidth="1" min="36" max="36" width="12.0"/>
    <col customWidth="1" min="37" max="37" width="32.25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33.0" customHeight="1">
      <c r="A2" s="3" t="s">
        <v>1</v>
      </c>
      <c r="B2" s="3" t="s">
        <v>2</v>
      </c>
      <c r="C2" s="4" t="s">
        <v>3</v>
      </c>
      <c r="D2" s="5"/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3" t="s">
        <v>29</v>
      </c>
      <c r="AE2" s="7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33</v>
      </c>
      <c r="AK2" s="3" t="s">
        <v>35</v>
      </c>
    </row>
    <row r="3" ht="14.25" customHeight="1">
      <c r="A3" s="8"/>
      <c r="B3" s="8"/>
      <c r="C3" s="9" t="s">
        <v>36</v>
      </c>
      <c r="D3" s="9"/>
      <c r="E3" s="10" t="s">
        <v>37</v>
      </c>
      <c r="F3" s="10" t="s">
        <v>38</v>
      </c>
      <c r="G3" s="10" t="s">
        <v>39</v>
      </c>
      <c r="H3" s="10" t="s">
        <v>40</v>
      </c>
      <c r="I3" s="10" t="s">
        <v>41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47</v>
      </c>
      <c r="P3" s="10" t="s">
        <v>48</v>
      </c>
      <c r="Q3" s="10" t="s">
        <v>49</v>
      </c>
      <c r="R3" s="10" t="s">
        <v>50</v>
      </c>
      <c r="S3" s="10" t="s">
        <v>51</v>
      </c>
      <c r="T3" s="10" t="s">
        <v>52</v>
      </c>
      <c r="U3" s="10" t="s">
        <v>53</v>
      </c>
      <c r="V3" s="10" t="s">
        <v>54</v>
      </c>
      <c r="W3" s="10" t="s">
        <v>55</v>
      </c>
      <c r="X3" s="10" t="s">
        <v>56</v>
      </c>
      <c r="Y3" s="10" t="s">
        <v>57</v>
      </c>
      <c r="Z3" s="10" t="s">
        <v>58</v>
      </c>
      <c r="AA3" s="11" t="s">
        <v>59</v>
      </c>
      <c r="AB3" s="11" t="s">
        <v>60</v>
      </c>
      <c r="AC3" s="11" t="s">
        <v>61</v>
      </c>
      <c r="AD3" s="8"/>
      <c r="AE3" s="8"/>
      <c r="AF3" s="8"/>
      <c r="AG3" s="8"/>
      <c r="AH3" s="8"/>
      <c r="AI3" s="8"/>
      <c r="AJ3" s="8"/>
      <c r="AK3" s="8"/>
    </row>
    <row r="4" ht="28.5" customHeight="1">
      <c r="A4" s="12">
        <v>1.0</v>
      </c>
      <c r="B4" s="13" t="s">
        <v>62</v>
      </c>
      <c r="C4" s="14" t="s">
        <v>63</v>
      </c>
      <c r="D4" s="13" t="s">
        <v>64</v>
      </c>
      <c r="E4" s="15"/>
      <c r="F4" s="15"/>
      <c r="G4" s="15"/>
      <c r="H4" s="16"/>
      <c r="I4" s="16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>
        <v>8000.0</v>
      </c>
      <c r="X4" s="17"/>
      <c r="Y4" s="16"/>
      <c r="Z4" s="16"/>
      <c r="AA4" s="16"/>
      <c r="AB4" s="16"/>
      <c r="AC4" s="16"/>
      <c r="AD4" s="18">
        <f t="shared" ref="AD4:AD8" si="1">SUM(G4:AC4)</f>
        <v>8000</v>
      </c>
      <c r="AE4" s="19" t="s">
        <v>65</v>
      </c>
      <c r="AF4" s="20" t="s">
        <v>66</v>
      </c>
      <c r="AG4" s="21" t="s">
        <v>67</v>
      </c>
      <c r="AH4" s="22">
        <v>45945.0</v>
      </c>
      <c r="AI4" s="21" t="s">
        <v>68</v>
      </c>
      <c r="AJ4" s="22">
        <v>45959.0</v>
      </c>
      <c r="AK4" s="23"/>
    </row>
    <row r="5" ht="28.5" customHeight="1">
      <c r="A5" s="24"/>
      <c r="B5" s="24"/>
      <c r="C5" s="14" t="s">
        <v>69</v>
      </c>
      <c r="D5" s="24"/>
      <c r="E5" s="15"/>
      <c r="F5" s="15"/>
      <c r="G5" s="15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>
        <v>1600.0</v>
      </c>
      <c r="X5" s="17"/>
      <c r="Y5" s="16"/>
      <c r="Z5" s="16"/>
      <c r="AA5" s="16"/>
      <c r="AB5" s="16"/>
      <c r="AC5" s="16"/>
      <c r="AD5" s="25">
        <f t="shared" si="1"/>
        <v>1600</v>
      </c>
      <c r="AE5" s="8"/>
      <c r="AF5" s="8"/>
      <c r="AG5" s="21" t="s">
        <v>70</v>
      </c>
      <c r="AH5" s="22">
        <v>45960.0</v>
      </c>
      <c r="AI5" s="21" t="s">
        <v>71</v>
      </c>
      <c r="AJ5" s="22">
        <v>45968.0</v>
      </c>
      <c r="AK5" s="23" t="s">
        <v>72</v>
      </c>
    </row>
    <row r="6" ht="28.5" customHeight="1">
      <c r="A6" s="24"/>
      <c r="B6" s="24"/>
      <c r="C6" s="26" t="s">
        <v>73</v>
      </c>
      <c r="D6" s="24"/>
      <c r="E6" s="15"/>
      <c r="F6" s="15"/>
      <c r="G6" s="15"/>
      <c r="H6" s="16"/>
      <c r="I6" s="16">
        <v>3000.0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6"/>
      <c r="Z6" s="16"/>
      <c r="AA6" s="16"/>
      <c r="AB6" s="16"/>
      <c r="AC6" s="16"/>
      <c r="AD6" s="18">
        <f t="shared" si="1"/>
        <v>3000</v>
      </c>
      <c r="AE6" s="19" t="s">
        <v>74</v>
      </c>
      <c r="AF6" s="20"/>
      <c r="AG6" s="27" t="s">
        <v>75</v>
      </c>
      <c r="AH6" s="22">
        <v>46119.0</v>
      </c>
      <c r="AI6" s="27" t="s">
        <v>68</v>
      </c>
      <c r="AJ6" s="22">
        <v>46153.0</v>
      </c>
      <c r="AK6" s="23"/>
    </row>
    <row r="7" ht="28.5" customHeight="1">
      <c r="A7" s="24"/>
      <c r="B7" s="24"/>
      <c r="C7" s="14" t="s">
        <v>76</v>
      </c>
      <c r="D7" s="24"/>
      <c r="E7" s="15"/>
      <c r="F7" s="15"/>
      <c r="G7" s="15"/>
      <c r="H7" s="16"/>
      <c r="I7" s="16">
        <v>500.0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6"/>
      <c r="Z7" s="16"/>
      <c r="AA7" s="16"/>
      <c r="AB7" s="16"/>
      <c r="AC7" s="16"/>
      <c r="AD7" s="25">
        <f t="shared" si="1"/>
        <v>500</v>
      </c>
      <c r="AE7" s="8"/>
      <c r="AF7" s="8"/>
      <c r="AG7" s="27" t="s">
        <v>77</v>
      </c>
      <c r="AH7" s="22">
        <v>46154.0</v>
      </c>
      <c r="AI7" s="27" t="s">
        <v>71</v>
      </c>
      <c r="AJ7" s="22">
        <v>46160.0</v>
      </c>
      <c r="AK7" s="23"/>
    </row>
    <row r="8" ht="28.5" customHeight="1">
      <c r="A8" s="24"/>
      <c r="B8" s="24"/>
      <c r="C8" s="26" t="s">
        <v>78</v>
      </c>
      <c r="D8" s="24"/>
      <c r="E8" s="15"/>
      <c r="F8" s="15"/>
      <c r="G8" s="15"/>
      <c r="H8" s="16"/>
      <c r="I8" s="16">
        <v>500.0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>
        <v>1600.0</v>
      </c>
      <c r="X8" s="17"/>
      <c r="Y8" s="16"/>
      <c r="Z8" s="16"/>
      <c r="AA8" s="16"/>
      <c r="AB8" s="16"/>
      <c r="AC8" s="16"/>
      <c r="AD8" s="28">
        <f t="shared" si="1"/>
        <v>2100</v>
      </c>
      <c r="AE8" s="29"/>
      <c r="AF8" s="30"/>
      <c r="AG8" s="27"/>
      <c r="AH8" s="22"/>
      <c r="AI8" s="27"/>
      <c r="AJ8" s="22"/>
      <c r="AK8" s="23"/>
    </row>
    <row r="9" ht="28.5" customHeight="1">
      <c r="A9" s="8"/>
      <c r="B9" s="8"/>
      <c r="C9" s="26" t="s">
        <v>79</v>
      </c>
      <c r="D9" s="8"/>
      <c r="E9" s="15"/>
      <c r="F9" s="15"/>
      <c r="G9" s="15"/>
      <c r="H9" s="16"/>
      <c r="I9" s="17">
        <f>I7-I8</f>
        <v>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>
        <f>W5-W8</f>
        <v>0</v>
      </c>
      <c r="X9" s="17"/>
      <c r="Y9" s="16"/>
      <c r="Z9" s="16"/>
      <c r="AA9" s="16"/>
      <c r="AB9" s="16"/>
      <c r="AC9" s="16"/>
      <c r="AD9" s="31">
        <f>AD5+AD7-AD8</f>
        <v>0</v>
      </c>
      <c r="AE9" s="29"/>
      <c r="AF9" s="30"/>
      <c r="AG9" s="27"/>
      <c r="AH9" s="22"/>
      <c r="AI9" s="27"/>
      <c r="AJ9" s="22"/>
      <c r="AK9" s="23"/>
    </row>
    <row r="10" ht="28.5" customHeight="1">
      <c r="A10" s="32">
        <v>2.0</v>
      </c>
      <c r="B10" s="33" t="s">
        <v>80</v>
      </c>
      <c r="C10" s="34" t="s">
        <v>63</v>
      </c>
      <c r="D10" s="33" t="s">
        <v>64</v>
      </c>
      <c r="E10" s="35"/>
      <c r="F10" s="35"/>
      <c r="G10" s="35"/>
      <c r="H10" s="36"/>
      <c r="I10" s="36"/>
      <c r="J10" s="37">
        <v>6000.0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6"/>
      <c r="Z10" s="36"/>
      <c r="AA10" s="36"/>
      <c r="AB10" s="36"/>
      <c r="AC10" s="36"/>
      <c r="AD10" s="18">
        <f t="shared" ref="AD10:AD14" si="2">SUM(G10:AC10)</f>
        <v>6000</v>
      </c>
      <c r="AE10" s="38" t="s">
        <v>65</v>
      </c>
      <c r="AF10" s="39" t="s">
        <v>81</v>
      </c>
      <c r="AG10" s="21" t="s">
        <v>67</v>
      </c>
      <c r="AH10" s="22">
        <v>45946.0</v>
      </c>
      <c r="AI10" s="21" t="s">
        <v>68</v>
      </c>
      <c r="AJ10" s="22">
        <v>45959.0</v>
      </c>
      <c r="AK10" s="23"/>
    </row>
    <row r="11" ht="28.5" customHeight="1">
      <c r="A11" s="24"/>
      <c r="B11" s="24"/>
      <c r="C11" s="34" t="s">
        <v>69</v>
      </c>
      <c r="D11" s="24"/>
      <c r="E11" s="35"/>
      <c r="F11" s="35"/>
      <c r="G11" s="35"/>
      <c r="H11" s="36"/>
      <c r="I11" s="36"/>
      <c r="J11" s="37">
        <v>800.0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6"/>
      <c r="Z11" s="36"/>
      <c r="AA11" s="36"/>
      <c r="AB11" s="36"/>
      <c r="AC11" s="36"/>
      <c r="AD11" s="25">
        <f t="shared" si="2"/>
        <v>800</v>
      </c>
      <c r="AE11" s="8"/>
      <c r="AF11" s="8"/>
      <c r="AG11" s="21" t="s">
        <v>70</v>
      </c>
      <c r="AH11" s="22">
        <v>45960.0</v>
      </c>
      <c r="AI11" s="21" t="s">
        <v>71</v>
      </c>
      <c r="AJ11" s="22">
        <v>45968.0</v>
      </c>
      <c r="AK11" s="23"/>
    </row>
    <row r="12" ht="28.5" customHeight="1">
      <c r="A12" s="24"/>
      <c r="B12" s="24"/>
      <c r="C12" s="40" t="s">
        <v>73</v>
      </c>
      <c r="D12" s="24"/>
      <c r="E12" s="35"/>
      <c r="F12" s="35"/>
      <c r="G12" s="35"/>
      <c r="H12" s="36"/>
      <c r="I12" s="36"/>
      <c r="J12" s="37">
        <f>3000-J11</f>
        <v>2200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6"/>
      <c r="Z12" s="36"/>
      <c r="AA12" s="36"/>
      <c r="AB12" s="36"/>
      <c r="AC12" s="36"/>
      <c r="AD12" s="18">
        <f t="shared" si="2"/>
        <v>2200</v>
      </c>
      <c r="AE12" s="38" t="s">
        <v>82</v>
      </c>
      <c r="AF12" s="39" t="s">
        <v>83</v>
      </c>
      <c r="AG12" s="27" t="s">
        <v>75</v>
      </c>
      <c r="AH12" s="22">
        <v>46078.0</v>
      </c>
      <c r="AI12" s="27" t="s">
        <v>84</v>
      </c>
      <c r="AJ12" s="22">
        <v>46104.0</v>
      </c>
      <c r="AK12" s="23"/>
    </row>
    <row r="13" ht="28.5" customHeight="1">
      <c r="A13" s="24"/>
      <c r="B13" s="24"/>
      <c r="C13" s="34" t="s">
        <v>76</v>
      </c>
      <c r="D13" s="24"/>
      <c r="E13" s="35"/>
      <c r="F13" s="35"/>
      <c r="G13" s="35"/>
      <c r="H13" s="36"/>
      <c r="I13" s="36"/>
      <c r="J13" s="37">
        <v>100.0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6"/>
      <c r="Z13" s="36"/>
      <c r="AA13" s="36"/>
      <c r="AB13" s="36"/>
      <c r="AC13" s="36"/>
      <c r="AD13" s="25">
        <f t="shared" si="2"/>
        <v>100</v>
      </c>
      <c r="AE13" s="8"/>
      <c r="AF13" s="8"/>
      <c r="AG13" s="27" t="s">
        <v>77</v>
      </c>
      <c r="AH13" s="22">
        <v>46118.0</v>
      </c>
      <c r="AI13" s="27" t="s">
        <v>85</v>
      </c>
      <c r="AJ13" s="22">
        <v>46127.0</v>
      </c>
      <c r="AK13" s="41" t="s">
        <v>86</v>
      </c>
    </row>
    <row r="14" ht="28.5" customHeight="1">
      <c r="A14" s="24"/>
      <c r="B14" s="24"/>
      <c r="C14" s="40" t="s">
        <v>78</v>
      </c>
      <c r="D14" s="24"/>
      <c r="E14" s="35"/>
      <c r="F14" s="35"/>
      <c r="G14" s="35"/>
      <c r="H14" s="36"/>
      <c r="I14" s="36"/>
      <c r="J14" s="37">
        <v>900.0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6"/>
      <c r="Z14" s="36"/>
      <c r="AA14" s="36"/>
      <c r="AB14" s="36"/>
      <c r="AC14" s="36"/>
      <c r="AD14" s="28">
        <f t="shared" si="2"/>
        <v>900</v>
      </c>
      <c r="AE14" s="42"/>
      <c r="AF14" s="43"/>
      <c r="AG14" s="27"/>
      <c r="AH14" s="22"/>
      <c r="AI14" s="27"/>
      <c r="AJ14" s="22"/>
      <c r="AK14" s="23"/>
    </row>
    <row r="15" ht="28.5" customHeight="1">
      <c r="A15" s="8"/>
      <c r="B15" s="8"/>
      <c r="C15" s="40" t="s">
        <v>79</v>
      </c>
      <c r="D15" s="8"/>
      <c r="E15" s="35"/>
      <c r="F15" s="35"/>
      <c r="G15" s="35"/>
      <c r="H15" s="36"/>
      <c r="I15" s="36"/>
      <c r="J15" s="37">
        <f>SUM(J11,J13)-J14</f>
        <v>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6"/>
      <c r="Z15" s="36"/>
      <c r="AA15" s="36"/>
      <c r="AB15" s="36"/>
      <c r="AC15" s="36"/>
      <c r="AD15" s="31">
        <f>AD11+AD13-AD14</f>
        <v>0</v>
      </c>
      <c r="AE15" s="42"/>
      <c r="AF15" s="43"/>
      <c r="AG15" s="27"/>
      <c r="AH15" s="22"/>
      <c r="AI15" s="27"/>
      <c r="AJ15" s="22"/>
      <c r="AK15" s="23"/>
    </row>
    <row r="16" ht="28.5" customHeight="1">
      <c r="A16" s="44">
        <v>3.0</v>
      </c>
      <c r="B16" s="45" t="s">
        <v>87</v>
      </c>
      <c r="C16" s="34" t="s">
        <v>63</v>
      </c>
      <c r="D16" s="45" t="s">
        <v>64</v>
      </c>
      <c r="E16" s="35"/>
      <c r="F16" s="35"/>
      <c r="G16" s="35"/>
      <c r="H16" s="36"/>
      <c r="I16" s="36"/>
      <c r="J16" s="37">
        <v>6000.0</v>
      </c>
      <c r="K16" s="37"/>
      <c r="L16" s="37"/>
      <c r="M16" s="37"/>
      <c r="N16" s="37">
        <v>1000.0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6"/>
      <c r="Z16" s="36"/>
      <c r="AA16" s="36"/>
      <c r="AB16" s="36"/>
      <c r="AC16" s="36"/>
      <c r="AD16" s="18">
        <f t="shared" ref="AD16:AD18" si="3">SUM(G16:AC16)</f>
        <v>7000</v>
      </c>
      <c r="AE16" s="38" t="s">
        <v>88</v>
      </c>
      <c r="AF16" s="39" t="s">
        <v>89</v>
      </c>
      <c r="AG16" s="21" t="s">
        <v>67</v>
      </c>
      <c r="AH16" s="22">
        <v>45946.0</v>
      </c>
      <c r="AI16" s="21" t="s">
        <v>68</v>
      </c>
      <c r="AJ16" s="22">
        <v>45953.0</v>
      </c>
      <c r="AK16" s="23"/>
    </row>
    <row r="17" ht="28.5" customHeight="1">
      <c r="A17" s="24"/>
      <c r="B17" s="24"/>
      <c r="C17" s="34" t="s">
        <v>69</v>
      </c>
      <c r="D17" s="46"/>
      <c r="E17" s="35"/>
      <c r="F17" s="35"/>
      <c r="G17" s="35"/>
      <c r="H17" s="36"/>
      <c r="I17" s="36"/>
      <c r="J17" s="37">
        <v>400.0</v>
      </c>
      <c r="K17" s="37"/>
      <c r="L17" s="37"/>
      <c r="M17" s="37"/>
      <c r="N17" s="37">
        <v>400.0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6"/>
      <c r="Z17" s="36"/>
      <c r="AA17" s="36"/>
      <c r="AB17" s="36"/>
      <c r="AC17" s="36"/>
      <c r="AD17" s="25">
        <f t="shared" si="3"/>
        <v>800</v>
      </c>
      <c r="AE17" s="8"/>
      <c r="AF17" s="8"/>
      <c r="AG17" s="21" t="s">
        <v>70</v>
      </c>
      <c r="AH17" s="22">
        <v>45965.0</v>
      </c>
      <c r="AI17" s="21" t="s">
        <v>71</v>
      </c>
      <c r="AJ17" s="22">
        <v>45988.0</v>
      </c>
      <c r="AK17" s="23" t="s">
        <v>90</v>
      </c>
    </row>
    <row r="18" ht="28.5" customHeight="1">
      <c r="A18" s="24"/>
      <c r="B18" s="46"/>
      <c r="C18" s="47" t="s">
        <v>78</v>
      </c>
      <c r="D18" s="48"/>
      <c r="E18" s="35"/>
      <c r="F18" s="35"/>
      <c r="G18" s="35"/>
      <c r="H18" s="36"/>
      <c r="I18" s="36"/>
      <c r="J18" s="37">
        <v>400.0</v>
      </c>
      <c r="K18" s="37"/>
      <c r="L18" s="37"/>
      <c r="M18" s="37"/>
      <c r="N18" s="37">
        <v>400.0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6"/>
      <c r="Z18" s="36"/>
      <c r="AA18" s="36"/>
      <c r="AB18" s="36"/>
      <c r="AC18" s="36"/>
      <c r="AD18" s="28">
        <f t="shared" si="3"/>
        <v>800</v>
      </c>
      <c r="AE18" s="42"/>
      <c r="AF18" s="43"/>
      <c r="AG18" s="21"/>
      <c r="AH18" s="22"/>
      <c r="AI18" s="21"/>
      <c r="AJ18" s="22"/>
      <c r="AK18" s="23"/>
    </row>
    <row r="19" ht="28.5" customHeight="1">
      <c r="A19" s="8"/>
      <c r="B19" s="48"/>
      <c r="C19" s="47" t="s">
        <v>79</v>
      </c>
      <c r="D19" s="48"/>
      <c r="E19" s="35"/>
      <c r="F19" s="35"/>
      <c r="G19" s="35"/>
      <c r="H19" s="36"/>
      <c r="I19" s="36"/>
      <c r="J19" s="37">
        <f>J17-J18</f>
        <v>0</v>
      </c>
      <c r="K19" s="37"/>
      <c r="L19" s="37"/>
      <c r="M19" s="37"/>
      <c r="N19" s="37">
        <f>N17-N18</f>
        <v>0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6"/>
      <c r="Z19" s="36"/>
      <c r="AA19" s="36"/>
      <c r="AB19" s="36"/>
      <c r="AC19" s="36"/>
      <c r="AD19" s="31">
        <f>AD17-AD18</f>
        <v>0</v>
      </c>
      <c r="AE19" s="42"/>
      <c r="AF19" s="43"/>
      <c r="AG19" s="21"/>
      <c r="AH19" s="22"/>
      <c r="AI19" s="21"/>
      <c r="AJ19" s="22"/>
      <c r="AK19" s="23"/>
    </row>
    <row r="20" ht="28.5" customHeight="1">
      <c r="A20" s="32">
        <v>4.0</v>
      </c>
      <c r="B20" s="33" t="s">
        <v>91</v>
      </c>
      <c r="C20" s="34" t="s">
        <v>63</v>
      </c>
      <c r="D20" s="33" t="s">
        <v>64</v>
      </c>
      <c r="E20" s="35"/>
      <c r="F20" s="35"/>
      <c r="G20" s="35"/>
      <c r="H20" s="36"/>
      <c r="I20" s="36">
        <v>6000.0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6"/>
      <c r="Z20" s="36"/>
      <c r="AA20" s="36"/>
      <c r="AB20" s="36"/>
      <c r="AC20" s="36"/>
      <c r="AD20" s="18">
        <f t="shared" ref="AD20:AD24" si="4">SUM(E20:AC20)</f>
        <v>6000</v>
      </c>
      <c r="AE20" s="38" t="s">
        <v>65</v>
      </c>
      <c r="AF20" s="39" t="s">
        <v>92</v>
      </c>
      <c r="AG20" s="21" t="s">
        <v>67</v>
      </c>
      <c r="AH20" s="22">
        <v>45946.0</v>
      </c>
      <c r="AI20" s="21" t="s">
        <v>68</v>
      </c>
      <c r="AJ20" s="22">
        <v>45959.0</v>
      </c>
      <c r="AK20" s="23"/>
    </row>
    <row r="21" ht="28.5" customHeight="1">
      <c r="A21" s="24"/>
      <c r="B21" s="24"/>
      <c r="C21" s="34" t="s">
        <v>69</v>
      </c>
      <c r="D21" s="24"/>
      <c r="E21" s="35"/>
      <c r="F21" s="35"/>
      <c r="G21" s="35"/>
      <c r="H21" s="36"/>
      <c r="I21" s="36">
        <v>800.0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6"/>
      <c r="Z21" s="36"/>
      <c r="AA21" s="36"/>
      <c r="AB21" s="36"/>
      <c r="AC21" s="36"/>
      <c r="AD21" s="25">
        <f t="shared" si="4"/>
        <v>800</v>
      </c>
      <c r="AE21" s="8"/>
      <c r="AF21" s="8"/>
      <c r="AG21" s="21" t="s">
        <v>70</v>
      </c>
      <c r="AH21" s="22">
        <v>45960.0</v>
      </c>
      <c r="AI21" s="21" t="s">
        <v>71</v>
      </c>
      <c r="AJ21" s="22">
        <v>45968.0</v>
      </c>
      <c r="AK21" s="23"/>
    </row>
    <row r="22" ht="28.5" customHeight="1">
      <c r="A22" s="24"/>
      <c r="B22" s="24"/>
      <c r="C22" s="40" t="s">
        <v>73</v>
      </c>
      <c r="D22" s="24"/>
      <c r="E22" s="35"/>
      <c r="F22" s="35"/>
      <c r="G22" s="35"/>
      <c r="H22" s="36"/>
      <c r="I22" s="36">
        <f>3000-I21</f>
        <v>2200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6"/>
      <c r="Z22" s="36"/>
      <c r="AA22" s="36"/>
      <c r="AB22" s="36"/>
      <c r="AC22" s="36"/>
      <c r="AD22" s="18">
        <f t="shared" si="4"/>
        <v>2200</v>
      </c>
      <c r="AE22" s="38" t="s">
        <v>93</v>
      </c>
      <c r="AF22" s="39" t="s">
        <v>94</v>
      </c>
      <c r="AG22" s="27" t="s">
        <v>95</v>
      </c>
      <c r="AH22" s="22">
        <v>46078.0</v>
      </c>
      <c r="AI22" s="27" t="s">
        <v>96</v>
      </c>
      <c r="AJ22" s="22">
        <v>46129.0</v>
      </c>
      <c r="AK22" s="23"/>
    </row>
    <row r="23" ht="28.5" customHeight="1">
      <c r="A23" s="24"/>
      <c r="B23" s="24"/>
      <c r="C23" s="34" t="s">
        <v>76</v>
      </c>
      <c r="D23" s="24"/>
      <c r="E23" s="35"/>
      <c r="F23" s="35"/>
      <c r="G23" s="35"/>
      <c r="H23" s="36"/>
      <c r="I23" s="36">
        <v>220.0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6"/>
      <c r="Z23" s="36"/>
      <c r="AA23" s="36"/>
      <c r="AB23" s="36"/>
      <c r="AC23" s="36"/>
      <c r="AD23" s="25">
        <f t="shared" si="4"/>
        <v>220</v>
      </c>
      <c r="AE23" s="8"/>
      <c r="AF23" s="8"/>
      <c r="AG23" s="27" t="s">
        <v>97</v>
      </c>
      <c r="AH23" s="22">
        <v>46132.0</v>
      </c>
      <c r="AI23" s="27" t="s">
        <v>98</v>
      </c>
      <c r="AJ23" s="22">
        <v>46141.0</v>
      </c>
      <c r="AK23" s="41" t="s">
        <v>86</v>
      </c>
    </row>
    <row r="24" ht="28.5" customHeight="1">
      <c r="A24" s="24"/>
      <c r="B24" s="24"/>
      <c r="C24" s="40" t="s">
        <v>78</v>
      </c>
      <c r="D24" s="24"/>
      <c r="E24" s="35"/>
      <c r="F24" s="35"/>
      <c r="G24" s="35"/>
      <c r="H24" s="36"/>
      <c r="I24" s="36">
        <f>800+220</f>
        <v>1020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6"/>
      <c r="Z24" s="36"/>
      <c r="AA24" s="36"/>
      <c r="AB24" s="36"/>
      <c r="AC24" s="36"/>
      <c r="AD24" s="28">
        <f t="shared" si="4"/>
        <v>1020</v>
      </c>
      <c r="AE24" s="42"/>
      <c r="AF24" s="43"/>
      <c r="AG24" s="27"/>
      <c r="AH24" s="22"/>
      <c r="AI24" s="27"/>
      <c r="AJ24" s="22"/>
      <c r="AK24" s="23"/>
    </row>
    <row r="25" ht="28.5" customHeight="1">
      <c r="A25" s="8"/>
      <c r="B25" s="8"/>
      <c r="C25" s="40" t="s">
        <v>79</v>
      </c>
      <c r="D25" s="8"/>
      <c r="E25" s="35"/>
      <c r="F25" s="35"/>
      <c r="G25" s="35"/>
      <c r="H25" s="36"/>
      <c r="I25" s="36">
        <f>SUM(I21,I23)-I24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6"/>
      <c r="Z25" s="36"/>
      <c r="AA25" s="36"/>
      <c r="AB25" s="36"/>
      <c r="AC25" s="36"/>
      <c r="AD25" s="31">
        <f>AD21+AD23-AD24</f>
        <v>0</v>
      </c>
      <c r="AE25" s="42"/>
      <c r="AF25" s="43"/>
      <c r="AG25" s="27"/>
      <c r="AH25" s="22"/>
      <c r="AI25" s="27"/>
      <c r="AJ25" s="22"/>
      <c r="AK25" s="23"/>
    </row>
    <row r="26" ht="28.5" customHeight="1">
      <c r="A26" s="32">
        <v>5.0</v>
      </c>
      <c r="B26" s="33" t="s">
        <v>99</v>
      </c>
      <c r="C26" s="34" t="s">
        <v>63</v>
      </c>
      <c r="D26" s="33" t="s">
        <v>64</v>
      </c>
      <c r="E26" s="35"/>
      <c r="F26" s="35"/>
      <c r="G26" s="35"/>
      <c r="H26" s="36"/>
      <c r="I26" s="36"/>
      <c r="J26" s="37">
        <v>6000.0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6"/>
      <c r="Z26" s="36"/>
      <c r="AA26" s="36"/>
      <c r="AB26" s="36"/>
      <c r="AC26" s="36"/>
      <c r="AD26" s="18">
        <f t="shared" ref="AD26:AD30" si="5">SUM(E26:AC26)</f>
        <v>6000</v>
      </c>
      <c r="AE26" s="38" t="s">
        <v>65</v>
      </c>
      <c r="AF26" s="39" t="s">
        <v>92</v>
      </c>
      <c r="AG26" s="21" t="s">
        <v>67</v>
      </c>
      <c r="AH26" s="22">
        <v>45944.0</v>
      </c>
      <c r="AI26" s="21" t="s">
        <v>68</v>
      </c>
      <c r="AJ26" s="22">
        <v>45959.0</v>
      </c>
      <c r="AK26" s="23"/>
    </row>
    <row r="27" ht="28.5" customHeight="1">
      <c r="A27" s="24"/>
      <c r="B27" s="24"/>
      <c r="C27" s="34" t="s">
        <v>69</v>
      </c>
      <c r="D27" s="24"/>
      <c r="E27" s="35"/>
      <c r="F27" s="35"/>
      <c r="G27" s="35"/>
      <c r="H27" s="36"/>
      <c r="I27" s="36"/>
      <c r="J27" s="37">
        <v>250.0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6"/>
      <c r="Z27" s="36"/>
      <c r="AA27" s="36"/>
      <c r="AB27" s="36"/>
      <c r="AC27" s="36"/>
      <c r="AD27" s="25">
        <f t="shared" si="5"/>
        <v>250</v>
      </c>
      <c r="AE27" s="8"/>
      <c r="AF27" s="8"/>
      <c r="AG27" s="21" t="s">
        <v>70</v>
      </c>
      <c r="AH27" s="22">
        <v>45960.0</v>
      </c>
      <c r="AI27" s="21" t="s">
        <v>71</v>
      </c>
      <c r="AJ27" s="22">
        <v>45968.0</v>
      </c>
      <c r="AK27" s="23"/>
    </row>
    <row r="28" ht="28.5" customHeight="1">
      <c r="A28" s="24"/>
      <c r="B28" s="24"/>
      <c r="C28" s="40" t="s">
        <v>73</v>
      </c>
      <c r="D28" s="24"/>
      <c r="E28" s="35"/>
      <c r="F28" s="35"/>
      <c r="G28" s="35"/>
      <c r="H28" s="36"/>
      <c r="I28" s="36"/>
      <c r="J28" s="37">
        <f>3000-J27</f>
        <v>2750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6"/>
      <c r="Z28" s="36"/>
      <c r="AA28" s="36"/>
      <c r="AB28" s="36"/>
      <c r="AC28" s="36"/>
      <c r="AD28" s="18">
        <f t="shared" si="5"/>
        <v>2750</v>
      </c>
      <c r="AE28" s="38" t="s">
        <v>93</v>
      </c>
      <c r="AF28" s="39" t="s">
        <v>94</v>
      </c>
      <c r="AG28" s="27" t="s">
        <v>95</v>
      </c>
      <c r="AH28" s="22">
        <v>46078.0</v>
      </c>
      <c r="AI28" s="27" t="s">
        <v>96</v>
      </c>
      <c r="AJ28" s="22">
        <v>46129.0</v>
      </c>
      <c r="AK28" s="23"/>
    </row>
    <row r="29" ht="28.5" customHeight="1">
      <c r="A29" s="24"/>
      <c r="B29" s="24"/>
      <c r="C29" s="34" t="s">
        <v>76</v>
      </c>
      <c r="D29" s="24"/>
      <c r="E29" s="35"/>
      <c r="F29" s="35"/>
      <c r="G29" s="35"/>
      <c r="H29" s="36"/>
      <c r="I29" s="36"/>
      <c r="J29" s="37">
        <v>150.0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6"/>
      <c r="Z29" s="36"/>
      <c r="AA29" s="36"/>
      <c r="AB29" s="36"/>
      <c r="AC29" s="36"/>
      <c r="AD29" s="25">
        <f t="shared" si="5"/>
        <v>150</v>
      </c>
      <c r="AE29" s="8"/>
      <c r="AF29" s="8"/>
      <c r="AG29" s="27" t="s">
        <v>100</v>
      </c>
      <c r="AH29" s="22">
        <v>46132.0</v>
      </c>
      <c r="AI29" s="27" t="s">
        <v>98</v>
      </c>
      <c r="AJ29" s="22">
        <v>46142.0</v>
      </c>
      <c r="AK29" s="41" t="s">
        <v>86</v>
      </c>
    </row>
    <row r="30" ht="28.5" customHeight="1">
      <c r="A30" s="24"/>
      <c r="B30" s="24"/>
      <c r="C30" s="40" t="s">
        <v>78</v>
      </c>
      <c r="D30" s="24"/>
      <c r="E30" s="35"/>
      <c r="F30" s="35"/>
      <c r="G30" s="35"/>
      <c r="H30" s="36"/>
      <c r="I30" s="36"/>
      <c r="J30" s="37">
        <f>250+150</f>
        <v>400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6"/>
      <c r="Z30" s="36"/>
      <c r="AA30" s="36"/>
      <c r="AB30" s="36"/>
      <c r="AC30" s="36"/>
      <c r="AD30" s="28">
        <f t="shared" si="5"/>
        <v>400</v>
      </c>
      <c r="AE30" s="42"/>
      <c r="AF30" s="43"/>
      <c r="AG30" s="27"/>
      <c r="AH30" s="22"/>
      <c r="AI30" s="27"/>
      <c r="AJ30" s="22"/>
      <c r="AK30" s="23"/>
    </row>
    <row r="31" ht="28.5" customHeight="1">
      <c r="A31" s="8"/>
      <c r="B31" s="8"/>
      <c r="C31" s="40" t="s">
        <v>79</v>
      </c>
      <c r="D31" s="8"/>
      <c r="E31" s="35"/>
      <c r="F31" s="35"/>
      <c r="G31" s="35"/>
      <c r="H31" s="36"/>
      <c r="I31" s="36"/>
      <c r="J31" s="37">
        <f>SUM(J27,J29)-J30</f>
        <v>0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6"/>
      <c r="Z31" s="36"/>
      <c r="AA31" s="36"/>
      <c r="AB31" s="36"/>
      <c r="AC31" s="36"/>
      <c r="AD31" s="31">
        <f>AD27+AD29-AD30</f>
        <v>0</v>
      </c>
      <c r="AE31" s="42"/>
      <c r="AF31" s="43"/>
      <c r="AG31" s="27"/>
      <c r="AH31" s="22"/>
      <c r="AI31" s="27"/>
      <c r="AJ31" s="22"/>
      <c r="AK31" s="23"/>
    </row>
    <row r="32" ht="28.5" customHeight="1">
      <c r="A32" s="49">
        <v>6.0</v>
      </c>
      <c r="B32" s="50" t="s">
        <v>101</v>
      </c>
      <c r="C32" s="51" t="s">
        <v>63</v>
      </c>
      <c r="D32" s="50" t="s">
        <v>64</v>
      </c>
      <c r="E32" s="52"/>
      <c r="F32" s="52"/>
      <c r="G32" s="52"/>
      <c r="H32" s="53">
        <v>6000.0</v>
      </c>
      <c r="I32" s="53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3"/>
      <c r="Z32" s="53"/>
      <c r="AA32" s="53"/>
      <c r="AB32" s="53"/>
      <c r="AC32" s="53"/>
      <c r="AD32" s="18">
        <f t="shared" ref="AD32:AD35" si="6">SUM(E32:AC32)</f>
        <v>6000</v>
      </c>
      <c r="AE32" s="55" t="s">
        <v>65</v>
      </c>
      <c r="AF32" s="56" t="s">
        <v>102</v>
      </c>
      <c r="AG32" s="21" t="s">
        <v>67</v>
      </c>
      <c r="AH32" s="22">
        <v>45945.0</v>
      </c>
      <c r="AI32" s="21" t="s">
        <v>68</v>
      </c>
      <c r="AJ32" s="22">
        <v>45959.0</v>
      </c>
      <c r="AK32" s="23"/>
    </row>
    <row r="33" ht="28.5" customHeight="1">
      <c r="A33" s="24"/>
      <c r="B33" s="24"/>
      <c r="C33" s="51" t="s">
        <v>69</v>
      </c>
      <c r="D33" s="46"/>
      <c r="E33" s="52"/>
      <c r="F33" s="52"/>
      <c r="G33" s="52"/>
      <c r="H33" s="53">
        <v>600.0</v>
      </c>
      <c r="I33" s="53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3"/>
      <c r="Z33" s="53"/>
      <c r="AA33" s="53"/>
      <c r="AB33" s="53"/>
      <c r="AC33" s="53"/>
      <c r="AD33" s="25">
        <f t="shared" si="6"/>
        <v>600</v>
      </c>
      <c r="AE33" s="8"/>
      <c r="AF33" s="8"/>
      <c r="AG33" s="21" t="s">
        <v>70</v>
      </c>
      <c r="AH33" s="22">
        <v>45960.0</v>
      </c>
      <c r="AI33" s="21" t="s">
        <v>71</v>
      </c>
      <c r="AJ33" s="22">
        <v>45968.0</v>
      </c>
      <c r="AK33" s="23" t="s">
        <v>103</v>
      </c>
    </row>
    <row r="34" ht="28.5" customHeight="1">
      <c r="A34" s="24"/>
      <c r="B34" s="24"/>
      <c r="C34" s="51" t="s">
        <v>104</v>
      </c>
      <c r="D34" s="57"/>
      <c r="E34" s="52"/>
      <c r="F34" s="52"/>
      <c r="G34" s="52"/>
      <c r="H34" s="58">
        <v>-353.0</v>
      </c>
      <c r="I34" s="59">
        <v>353.3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3"/>
      <c r="Z34" s="53"/>
      <c r="AA34" s="53"/>
      <c r="AB34" s="53"/>
      <c r="AC34" s="53"/>
      <c r="AD34" s="60">
        <f t="shared" si="6"/>
        <v>0.3</v>
      </c>
      <c r="AE34" s="61" t="s">
        <v>105</v>
      </c>
      <c r="AF34" s="62"/>
      <c r="AG34" s="27" t="s">
        <v>106</v>
      </c>
      <c r="AH34" s="22">
        <v>46111.0</v>
      </c>
      <c r="AI34" s="27" t="s">
        <v>107</v>
      </c>
      <c r="AJ34" s="22" t="s">
        <v>108</v>
      </c>
      <c r="AK34" s="23" t="s">
        <v>109</v>
      </c>
    </row>
    <row r="35" ht="28.5" customHeight="1">
      <c r="A35" s="24"/>
      <c r="B35" s="46"/>
      <c r="C35" s="63" t="s">
        <v>78</v>
      </c>
      <c r="D35" s="57"/>
      <c r="E35" s="52"/>
      <c r="F35" s="52"/>
      <c r="G35" s="52"/>
      <c r="H35" s="58">
        <v>247.0</v>
      </c>
      <c r="I35" s="53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3"/>
      <c r="Z35" s="53"/>
      <c r="AA35" s="53"/>
      <c r="AB35" s="53"/>
      <c r="AC35" s="53"/>
      <c r="AD35" s="28">
        <f t="shared" si="6"/>
        <v>247</v>
      </c>
      <c r="AE35" s="61"/>
      <c r="AF35" s="62"/>
      <c r="AG35" s="27" t="s">
        <v>110</v>
      </c>
      <c r="AH35" s="22" t="s">
        <v>108</v>
      </c>
      <c r="AI35" s="27" t="s">
        <v>111</v>
      </c>
      <c r="AJ35" s="22" t="s">
        <v>108</v>
      </c>
      <c r="AK35" s="23"/>
    </row>
    <row r="36" ht="28.5" customHeight="1">
      <c r="A36" s="8"/>
      <c r="B36" s="57"/>
      <c r="C36" s="63" t="s">
        <v>79</v>
      </c>
      <c r="D36" s="57"/>
      <c r="E36" s="52"/>
      <c r="F36" s="52"/>
      <c r="G36" s="52"/>
      <c r="H36" s="59">
        <f>H33-H35</f>
        <v>353</v>
      </c>
      <c r="I36" s="64">
        <v>0.0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3"/>
      <c r="Z36" s="53"/>
      <c r="AA36" s="53"/>
      <c r="AB36" s="53"/>
      <c r="AC36" s="53"/>
      <c r="AD36" s="31">
        <f>AD33-AD35</f>
        <v>353</v>
      </c>
      <c r="AE36" s="61"/>
      <c r="AF36" s="62"/>
      <c r="AG36" s="21"/>
      <c r="AH36" s="22"/>
      <c r="AI36" s="21"/>
      <c r="AJ36" s="22"/>
      <c r="AK36" s="23"/>
    </row>
    <row r="37" ht="28.5" customHeight="1">
      <c r="A37" s="12">
        <v>7.0</v>
      </c>
      <c r="B37" s="13" t="s">
        <v>112</v>
      </c>
      <c r="C37" s="14" t="s">
        <v>63</v>
      </c>
      <c r="D37" s="13" t="s">
        <v>64</v>
      </c>
      <c r="E37" s="15"/>
      <c r="F37" s="15"/>
      <c r="G37" s="15"/>
      <c r="H37" s="16"/>
      <c r="I37" s="16"/>
      <c r="J37" s="17">
        <v>6000.0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6"/>
      <c r="Z37" s="16"/>
      <c r="AA37" s="16"/>
      <c r="AB37" s="16"/>
      <c r="AC37" s="16"/>
      <c r="AD37" s="18">
        <f t="shared" ref="AD37:AD41" si="7">SUM(E37:AC37)</f>
        <v>6000</v>
      </c>
      <c r="AE37" s="19" t="s">
        <v>113</v>
      </c>
      <c r="AF37" s="20" t="s">
        <v>114</v>
      </c>
      <c r="AG37" s="21" t="s">
        <v>67</v>
      </c>
      <c r="AH37" s="22">
        <v>45945.0</v>
      </c>
      <c r="AI37" s="21" t="s">
        <v>68</v>
      </c>
      <c r="AJ37" s="22">
        <v>45959.0</v>
      </c>
      <c r="AK37" s="23"/>
    </row>
    <row r="38" ht="28.5" customHeight="1">
      <c r="A38" s="24"/>
      <c r="B38" s="24"/>
      <c r="C38" s="14" t="s">
        <v>69</v>
      </c>
      <c r="D38" s="24"/>
      <c r="E38" s="15"/>
      <c r="F38" s="15"/>
      <c r="G38" s="15"/>
      <c r="H38" s="16"/>
      <c r="I38" s="16"/>
      <c r="J38" s="17">
        <v>300.0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6"/>
      <c r="Z38" s="16"/>
      <c r="AA38" s="16"/>
      <c r="AB38" s="16"/>
      <c r="AC38" s="16"/>
      <c r="AD38" s="25">
        <f t="shared" si="7"/>
        <v>300</v>
      </c>
      <c r="AE38" s="8"/>
      <c r="AF38" s="8"/>
      <c r="AG38" s="21" t="s">
        <v>70</v>
      </c>
      <c r="AH38" s="22">
        <v>46013.0</v>
      </c>
      <c r="AI38" s="21" t="s">
        <v>71</v>
      </c>
      <c r="AJ38" s="22">
        <v>46031.0</v>
      </c>
      <c r="AK38" s="23" t="s">
        <v>115</v>
      </c>
    </row>
    <row r="39" ht="28.5" customHeight="1">
      <c r="A39" s="24"/>
      <c r="B39" s="24"/>
      <c r="C39" s="14" t="s">
        <v>73</v>
      </c>
      <c r="D39" s="24"/>
      <c r="E39" s="15"/>
      <c r="F39" s="15"/>
      <c r="G39" s="15"/>
      <c r="H39" s="16"/>
      <c r="I39" s="16"/>
      <c r="J39" s="17">
        <v>2700.0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6"/>
      <c r="Z39" s="16"/>
      <c r="AA39" s="16"/>
      <c r="AB39" s="16"/>
      <c r="AC39" s="16"/>
      <c r="AD39" s="18">
        <f t="shared" si="7"/>
        <v>2700</v>
      </c>
      <c r="AE39" s="19"/>
      <c r="AF39" s="20"/>
      <c r="AG39" s="27" t="s">
        <v>75</v>
      </c>
      <c r="AH39" s="22">
        <v>46161.0</v>
      </c>
      <c r="AI39" s="27" t="s">
        <v>68</v>
      </c>
      <c r="AJ39" s="22" t="s">
        <v>108</v>
      </c>
      <c r="AK39" s="23"/>
    </row>
    <row r="40" ht="28.5" customHeight="1">
      <c r="A40" s="24"/>
      <c r="B40" s="24"/>
      <c r="C40" s="14" t="s">
        <v>76</v>
      </c>
      <c r="D40" s="24"/>
      <c r="E40" s="15"/>
      <c r="F40" s="15"/>
      <c r="G40" s="15"/>
      <c r="H40" s="16"/>
      <c r="I40" s="16"/>
      <c r="J40" s="17">
        <v>0.0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6"/>
      <c r="Z40" s="16"/>
      <c r="AA40" s="16"/>
      <c r="AB40" s="16"/>
      <c r="AC40" s="16"/>
      <c r="AD40" s="25">
        <f t="shared" si="7"/>
        <v>0</v>
      </c>
      <c r="AE40" s="8"/>
      <c r="AF40" s="8"/>
      <c r="AG40" s="27" t="s">
        <v>77</v>
      </c>
      <c r="AH40" s="22" t="s">
        <v>108</v>
      </c>
      <c r="AI40" s="27" t="s">
        <v>71</v>
      </c>
      <c r="AJ40" s="22" t="s">
        <v>108</v>
      </c>
      <c r="AK40" s="23"/>
    </row>
    <row r="41" ht="28.5" customHeight="1">
      <c r="A41" s="24"/>
      <c r="B41" s="24"/>
      <c r="C41" s="26" t="s">
        <v>78</v>
      </c>
      <c r="D41" s="24"/>
      <c r="E41" s="15"/>
      <c r="F41" s="15"/>
      <c r="G41" s="15"/>
      <c r="H41" s="16"/>
      <c r="I41" s="16"/>
      <c r="J41" s="17">
        <v>300.0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6"/>
      <c r="Z41" s="16"/>
      <c r="AA41" s="16"/>
      <c r="AB41" s="16"/>
      <c r="AC41" s="16"/>
      <c r="AD41" s="28">
        <f t="shared" si="7"/>
        <v>300</v>
      </c>
      <c r="AE41" s="29"/>
      <c r="AF41" s="30"/>
      <c r="AG41" s="27"/>
      <c r="AH41" s="22"/>
      <c r="AI41" s="27"/>
      <c r="AJ41" s="22"/>
      <c r="AK41" s="23"/>
    </row>
    <row r="42" ht="28.5" customHeight="1">
      <c r="A42" s="8"/>
      <c r="B42" s="8"/>
      <c r="C42" s="26" t="s">
        <v>79</v>
      </c>
      <c r="D42" s="8"/>
      <c r="E42" s="15"/>
      <c r="F42" s="15"/>
      <c r="G42" s="15"/>
      <c r="H42" s="16"/>
      <c r="I42" s="17"/>
      <c r="J42" s="17">
        <f>J38+J40-J41</f>
        <v>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6"/>
      <c r="Z42" s="16"/>
      <c r="AA42" s="16"/>
      <c r="AB42" s="16"/>
      <c r="AC42" s="16"/>
      <c r="AD42" s="31">
        <f>AD38-AD41</f>
        <v>0</v>
      </c>
      <c r="AE42" s="29"/>
      <c r="AF42" s="30"/>
      <c r="AG42" s="27"/>
      <c r="AH42" s="22"/>
      <c r="AI42" s="27"/>
      <c r="AJ42" s="22"/>
      <c r="AK42" s="23"/>
    </row>
    <row r="43" ht="28.5" customHeight="1">
      <c r="A43" s="12">
        <v>8.0</v>
      </c>
      <c r="B43" s="13" t="s">
        <v>116</v>
      </c>
      <c r="C43" s="14" t="s">
        <v>63</v>
      </c>
      <c r="D43" s="13" t="s">
        <v>64</v>
      </c>
      <c r="E43" s="15"/>
      <c r="F43" s="15"/>
      <c r="G43" s="15"/>
      <c r="H43" s="16"/>
      <c r="I43" s="16"/>
      <c r="J43" s="17"/>
      <c r="K43" s="17"/>
      <c r="L43" s="17"/>
      <c r="M43" s="17"/>
      <c r="N43" s="17">
        <v>6000.0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6"/>
      <c r="Z43" s="16"/>
      <c r="AA43" s="16"/>
      <c r="AB43" s="16"/>
      <c r="AC43" s="16"/>
      <c r="AD43" s="18">
        <f t="shared" ref="AD43:AD47" si="8">SUM(E43:AC43)</f>
        <v>6000</v>
      </c>
      <c r="AE43" s="19" t="s">
        <v>117</v>
      </c>
      <c r="AF43" s="20" t="s">
        <v>118</v>
      </c>
      <c r="AG43" s="21" t="s">
        <v>67</v>
      </c>
      <c r="AH43" s="22">
        <v>45951.0</v>
      </c>
      <c r="AI43" s="21" t="s">
        <v>68</v>
      </c>
      <c r="AJ43" s="22">
        <v>45964.0</v>
      </c>
      <c r="AK43" s="23"/>
    </row>
    <row r="44" ht="28.5" customHeight="1">
      <c r="A44" s="24"/>
      <c r="B44" s="24"/>
      <c r="C44" s="14" t="s">
        <v>69</v>
      </c>
      <c r="D44" s="24"/>
      <c r="E44" s="15"/>
      <c r="F44" s="15"/>
      <c r="G44" s="15"/>
      <c r="H44" s="16"/>
      <c r="I44" s="16"/>
      <c r="J44" s="17"/>
      <c r="K44" s="17"/>
      <c r="L44" s="17"/>
      <c r="M44" s="17"/>
      <c r="N44" s="17">
        <v>200.0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6"/>
      <c r="Z44" s="16"/>
      <c r="AA44" s="16"/>
      <c r="AB44" s="16"/>
      <c r="AC44" s="16"/>
      <c r="AD44" s="25">
        <f t="shared" si="8"/>
        <v>200</v>
      </c>
      <c r="AE44" s="8"/>
      <c r="AF44" s="8"/>
      <c r="AG44" s="21" t="s">
        <v>70</v>
      </c>
      <c r="AH44" s="22">
        <v>45966.0</v>
      </c>
      <c r="AI44" s="21" t="s">
        <v>71</v>
      </c>
      <c r="AJ44" s="22">
        <v>45996.0</v>
      </c>
      <c r="AK44" s="23" t="s">
        <v>119</v>
      </c>
    </row>
    <row r="45" ht="28.5" customHeight="1">
      <c r="A45" s="24"/>
      <c r="B45" s="24"/>
      <c r="C45" s="14" t="s">
        <v>73</v>
      </c>
      <c r="D45" s="24"/>
      <c r="E45" s="15"/>
      <c r="F45" s="15"/>
      <c r="G45" s="15"/>
      <c r="H45" s="16"/>
      <c r="I45" s="16">
        <v>2800.0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6"/>
      <c r="Z45" s="16"/>
      <c r="AA45" s="16"/>
      <c r="AB45" s="16"/>
      <c r="AC45" s="16"/>
      <c r="AD45" s="18">
        <f t="shared" si="8"/>
        <v>2800</v>
      </c>
      <c r="AE45" s="19"/>
      <c r="AF45" s="20"/>
      <c r="AG45" s="27" t="s">
        <v>75</v>
      </c>
      <c r="AH45" s="22">
        <v>46146.0</v>
      </c>
      <c r="AI45" s="27" t="s">
        <v>68</v>
      </c>
      <c r="AJ45" s="22" t="s">
        <v>108</v>
      </c>
      <c r="AK45" s="23"/>
    </row>
    <row r="46" ht="28.5" customHeight="1">
      <c r="A46" s="24"/>
      <c r="B46" s="24"/>
      <c r="C46" s="14" t="s">
        <v>76</v>
      </c>
      <c r="D46" s="24"/>
      <c r="E46" s="15"/>
      <c r="F46" s="15"/>
      <c r="G46" s="15"/>
      <c r="H46" s="16"/>
      <c r="I46" s="16" t="s">
        <v>108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6"/>
      <c r="Z46" s="16"/>
      <c r="AA46" s="16"/>
      <c r="AB46" s="16"/>
      <c r="AC46" s="16"/>
      <c r="AD46" s="25">
        <f t="shared" si="8"/>
        <v>0</v>
      </c>
      <c r="AE46" s="8"/>
      <c r="AF46" s="8"/>
      <c r="AG46" s="27" t="s">
        <v>77</v>
      </c>
      <c r="AH46" s="22" t="s">
        <v>108</v>
      </c>
      <c r="AI46" s="27" t="s">
        <v>71</v>
      </c>
      <c r="AJ46" s="22" t="s">
        <v>108</v>
      </c>
      <c r="AK46" s="23"/>
    </row>
    <row r="47" ht="28.5" customHeight="1">
      <c r="A47" s="24"/>
      <c r="B47" s="24"/>
      <c r="C47" s="26" t="s">
        <v>78</v>
      </c>
      <c r="D47" s="24"/>
      <c r="E47" s="15"/>
      <c r="F47" s="15"/>
      <c r="G47" s="15"/>
      <c r="H47" s="16"/>
      <c r="I47" s="16">
        <v>0.0</v>
      </c>
      <c r="J47" s="17"/>
      <c r="K47" s="17"/>
      <c r="L47" s="17"/>
      <c r="M47" s="17"/>
      <c r="N47" s="17">
        <v>200.0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6"/>
      <c r="Z47" s="16"/>
      <c r="AA47" s="16"/>
      <c r="AB47" s="16"/>
      <c r="AC47" s="16"/>
      <c r="AD47" s="28">
        <f t="shared" si="8"/>
        <v>200</v>
      </c>
      <c r="AE47" s="29"/>
      <c r="AF47" s="30"/>
      <c r="AG47" s="27"/>
      <c r="AH47" s="22"/>
      <c r="AI47" s="27"/>
      <c r="AJ47" s="22"/>
      <c r="AK47" s="23"/>
    </row>
    <row r="48" ht="28.5" customHeight="1">
      <c r="A48" s="8"/>
      <c r="B48" s="8"/>
      <c r="C48" s="26" t="s">
        <v>79</v>
      </c>
      <c r="D48" s="8"/>
      <c r="E48" s="15"/>
      <c r="F48" s="15"/>
      <c r="G48" s="15"/>
      <c r="H48" s="16"/>
      <c r="I48" s="17">
        <f>I44-I47</f>
        <v>0</v>
      </c>
      <c r="J48" s="17"/>
      <c r="K48" s="17"/>
      <c r="L48" s="17"/>
      <c r="M48" s="17"/>
      <c r="N48" s="17">
        <f>N44-N47</f>
        <v>0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6"/>
      <c r="Z48" s="16"/>
      <c r="AA48" s="16"/>
      <c r="AB48" s="16"/>
      <c r="AC48" s="16"/>
      <c r="AD48" s="31">
        <f>AD44-AD47</f>
        <v>0</v>
      </c>
      <c r="AE48" s="29"/>
      <c r="AF48" s="30"/>
      <c r="AG48" s="27"/>
      <c r="AH48" s="22"/>
      <c r="AI48" s="27"/>
      <c r="AJ48" s="22"/>
      <c r="AK48" s="23"/>
    </row>
    <row r="49" ht="28.5" customHeight="1">
      <c r="A49" s="44">
        <v>9.0</v>
      </c>
      <c r="B49" s="45" t="s">
        <v>120</v>
      </c>
      <c r="C49" s="34" t="s">
        <v>63</v>
      </c>
      <c r="D49" s="45" t="s">
        <v>64</v>
      </c>
      <c r="E49" s="35"/>
      <c r="F49" s="35"/>
      <c r="G49" s="35"/>
      <c r="H49" s="36"/>
      <c r="I49" s="36">
        <v>6000.0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6"/>
      <c r="Z49" s="36"/>
      <c r="AA49" s="36"/>
      <c r="AB49" s="36"/>
      <c r="AC49" s="36"/>
      <c r="AD49" s="18">
        <f t="shared" ref="AD49:AD51" si="9">SUM(E49:AC49)</f>
        <v>6000</v>
      </c>
      <c r="AE49" s="38" t="s">
        <v>121</v>
      </c>
      <c r="AF49" s="39" t="s">
        <v>122</v>
      </c>
      <c r="AG49" s="21" t="s">
        <v>67</v>
      </c>
      <c r="AH49" s="22">
        <v>45952.0</v>
      </c>
      <c r="AI49" s="21" t="s">
        <v>68</v>
      </c>
      <c r="AJ49" s="22">
        <v>45965.0</v>
      </c>
      <c r="AK49" s="23"/>
    </row>
    <row r="50" ht="28.5" customHeight="1">
      <c r="A50" s="24"/>
      <c r="B50" s="24"/>
      <c r="C50" s="34" t="s">
        <v>69</v>
      </c>
      <c r="D50" s="46"/>
      <c r="E50" s="35"/>
      <c r="F50" s="35"/>
      <c r="G50" s="35"/>
      <c r="H50" s="36"/>
      <c r="I50" s="36">
        <v>150.0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6"/>
      <c r="Z50" s="36"/>
      <c r="AA50" s="36"/>
      <c r="AB50" s="36"/>
      <c r="AC50" s="36"/>
      <c r="AD50" s="25">
        <f t="shared" si="9"/>
        <v>150</v>
      </c>
      <c r="AE50" s="8"/>
      <c r="AF50" s="8"/>
      <c r="AG50" s="21" t="s">
        <v>70</v>
      </c>
      <c r="AH50" s="22">
        <v>45966.0</v>
      </c>
      <c r="AI50" s="21" t="s">
        <v>71</v>
      </c>
      <c r="AJ50" s="22">
        <v>45996.0</v>
      </c>
      <c r="AK50" s="41" t="s">
        <v>86</v>
      </c>
    </row>
    <row r="51" ht="28.5" customHeight="1">
      <c r="A51" s="24"/>
      <c r="B51" s="46"/>
      <c r="C51" s="47" t="s">
        <v>78</v>
      </c>
      <c r="D51" s="48"/>
      <c r="E51" s="35"/>
      <c r="F51" s="35"/>
      <c r="G51" s="35"/>
      <c r="H51" s="36"/>
      <c r="I51" s="36">
        <v>150.0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6"/>
      <c r="Z51" s="36"/>
      <c r="AA51" s="36"/>
      <c r="AB51" s="36"/>
      <c r="AC51" s="36"/>
      <c r="AD51" s="28">
        <f t="shared" si="9"/>
        <v>150</v>
      </c>
      <c r="AE51" s="42"/>
      <c r="AF51" s="43"/>
      <c r="AG51" s="21"/>
      <c r="AH51" s="22"/>
      <c r="AI51" s="21"/>
      <c r="AJ51" s="22"/>
      <c r="AK51" s="23"/>
    </row>
    <row r="52" ht="28.5" customHeight="1">
      <c r="A52" s="8"/>
      <c r="B52" s="48"/>
      <c r="C52" s="47" t="s">
        <v>79</v>
      </c>
      <c r="D52" s="48"/>
      <c r="E52" s="35"/>
      <c r="F52" s="35"/>
      <c r="G52" s="35"/>
      <c r="H52" s="36"/>
      <c r="I52" s="36">
        <f>I50-I51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6"/>
      <c r="Z52" s="36"/>
      <c r="AA52" s="36"/>
      <c r="AB52" s="36"/>
      <c r="AC52" s="36"/>
      <c r="AD52" s="31">
        <f>AD50-AD51</f>
        <v>0</v>
      </c>
      <c r="AE52" s="42"/>
      <c r="AF52" s="43"/>
      <c r="AG52" s="21"/>
      <c r="AH52" s="22"/>
      <c r="AI52" s="21"/>
      <c r="AJ52" s="22"/>
      <c r="AK52" s="23"/>
    </row>
    <row r="53" ht="28.5" customHeight="1">
      <c r="A53" s="12">
        <v>10.0</v>
      </c>
      <c r="B53" s="13" t="s">
        <v>123</v>
      </c>
      <c r="C53" s="14" t="s">
        <v>63</v>
      </c>
      <c r="D53" s="13" t="s">
        <v>64</v>
      </c>
      <c r="E53" s="15"/>
      <c r="F53" s="15"/>
      <c r="G53" s="15"/>
      <c r="H53" s="16"/>
      <c r="I53" s="16"/>
      <c r="J53" s="16">
        <v>6000.0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6"/>
      <c r="Z53" s="16"/>
      <c r="AA53" s="16"/>
      <c r="AB53" s="16"/>
      <c r="AC53" s="16"/>
      <c r="AD53" s="18">
        <f t="shared" ref="AD53:AD57" si="10">SUM(E53:AC53)</f>
        <v>6000</v>
      </c>
      <c r="AE53" s="19" t="s">
        <v>124</v>
      </c>
      <c r="AF53" s="20" t="s">
        <v>125</v>
      </c>
      <c r="AG53" s="21" t="s">
        <v>67</v>
      </c>
      <c r="AH53" s="22">
        <v>45951.0</v>
      </c>
      <c r="AI53" s="21" t="s">
        <v>68</v>
      </c>
      <c r="AJ53" s="22">
        <v>45972.0</v>
      </c>
      <c r="AK53" s="23"/>
    </row>
    <row r="54" ht="28.5" customHeight="1">
      <c r="A54" s="24"/>
      <c r="B54" s="24"/>
      <c r="C54" s="14" t="s">
        <v>69</v>
      </c>
      <c r="D54" s="24"/>
      <c r="E54" s="15"/>
      <c r="F54" s="15"/>
      <c r="G54" s="15"/>
      <c r="H54" s="16"/>
      <c r="I54" s="16"/>
      <c r="J54" s="17">
        <v>400.0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6"/>
      <c r="Z54" s="16"/>
      <c r="AA54" s="16"/>
      <c r="AB54" s="16"/>
      <c r="AC54" s="16"/>
      <c r="AD54" s="25">
        <f t="shared" si="10"/>
        <v>400</v>
      </c>
      <c r="AE54" s="8"/>
      <c r="AF54" s="8"/>
      <c r="AG54" s="21" t="s">
        <v>70</v>
      </c>
      <c r="AH54" s="22">
        <v>45994.0</v>
      </c>
      <c r="AI54" s="21" t="s">
        <v>71</v>
      </c>
      <c r="AJ54" s="22">
        <v>46037.0</v>
      </c>
      <c r="AK54" s="23"/>
    </row>
    <row r="55" ht="27.75" customHeight="1">
      <c r="A55" s="24"/>
      <c r="B55" s="24"/>
      <c r="C55" s="26" t="s">
        <v>73</v>
      </c>
      <c r="D55" s="24"/>
      <c r="E55" s="15"/>
      <c r="F55" s="15"/>
      <c r="G55" s="15"/>
      <c r="H55" s="16"/>
      <c r="I55" s="16"/>
      <c r="J55" s="17">
        <v>3000.0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6"/>
      <c r="Z55" s="16"/>
      <c r="AA55" s="16"/>
      <c r="AB55" s="16"/>
      <c r="AC55" s="16"/>
      <c r="AD55" s="18">
        <f t="shared" si="10"/>
        <v>3000</v>
      </c>
      <c r="AE55" s="19" t="s">
        <v>124</v>
      </c>
      <c r="AF55" s="20" t="s">
        <v>126</v>
      </c>
      <c r="AG55" s="27" t="s">
        <v>95</v>
      </c>
      <c r="AH55" s="22">
        <v>46129.0</v>
      </c>
      <c r="AI55" s="27" t="s">
        <v>68</v>
      </c>
      <c r="AJ55" s="22" t="s">
        <v>108</v>
      </c>
      <c r="AK55" s="23"/>
    </row>
    <row r="56" ht="28.5" customHeight="1">
      <c r="A56" s="24"/>
      <c r="B56" s="24"/>
      <c r="C56" s="65" t="s">
        <v>76</v>
      </c>
      <c r="D56" s="24"/>
      <c r="E56" s="15"/>
      <c r="F56" s="15"/>
      <c r="G56" s="15"/>
      <c r="H56" s="16"/>
      <c r="I56" s="16"/>
      <c r="J56" s="17" t="s">
        <v>108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6"/>
      <c r="Z56" s="16"/>
      <c r="AA56" s="16"/>
      <c r="AB56" s="16"/>
      <c r="AC56" s="16"/>
      <c r="AD56" s="25">
        <f t="shared" si="10"/>
        <v>0</v>
      </c>
      <c r="AE56" s="8"/>
      <c r="AF56" s="8"/>
      <c r="AG56" s="27" t="s">
        <v>97</v>
      </c>
      <c r="AH56" s="22"/>
      <c r="AI56" s="27" t="s">
        <v>71</v>
      </c>
      <c r="AJ56" s="22"/>
      <c r="AK56" s="41" t="s">
        <v>127</v>
      </c>
    </row>
    <row r="57" ht="28.5" customHeight="1">
      <c r="A57" s="24"/>
      <c r="B57" s="24"/>
      <c r="C57" s="26" t="s">
        <v>78</v>
      </c>
      <c r="D57" s="24"/>
      <c r="E57" s="15"/>
      <c r="F57" s="15"/>
      <c r="G57" s="15"/>
      <c r="H57" s="16"/>
      <c r="I57" s="16"/>
      <c r="J57" s="16">
        <v>400.0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6"/>
      <c r="Z57" s="16"/>
      <c r="AA57" s="16"/>
      <c r="AB57" s="16"/>
      <c r="AC57" s="16"/>
      <c r="AD57" s="28">
        <f t="shared" si="10"/>
        <v>400</v>
      </c>
      <c r="AE57" s="29"/>
      <c r="AF57" s="30"/>
      <c r="AG57" s="27"/>
      <c r="AH57" s="22"/>
      <c r="AI57" s="27"/>
      <c r="AJ57" s="22"/>
      <c r="AK57" s="23"/>
    </row>
    <row r="58" ht="28.5" customHeight="1">
      <c r="A58" s="8"/>
      <c r="B58" s="8"/>
      <c r="C58" s="26" t="s">
        <v>79</v>
      </c>
      <c r="D58" s="8"/>
      <c r="E58" s="15"/>
      <c r="F58" s="15"/>
      <c r="G58" s="15"/>
      <c r="H58" s="16"/>
      <c r="I58" s="16"/>
      <c r="J58" s="17">
        <f>J54-J57</f>
        <v>0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6"/>
      <c r="Z58" s="16"/>
      <c r="AA58" s="16"/>
      <c r="AB58" s="16"/>
      <c r="AC58" s="16"/>
      <c r="AD58" s="31">
        <f>AD54+AD56-AD57</f>
        <v>0</v>
      </c>
      <c r="AE58" s="29"/>
      <c r="AF58" s="30"/>
      <c r="AG58" s="27"/>
      <c r="AH58" s="22"/>
      <c r="AI58" s="27"/>
      <c r="AJ58" s="22"/>
      <c r="AK58" s="23"/>
    </row>
    <row r="59" ht="28.5" customHeight="1">
      <c r="A59" s="66">
        <v>11.0</v>
      </c>
      <c r="B59" s="67" t="s">
        <v>128</v>
      </c>
      <c r="C59" s="51" t="s">
        <v>63</v>
      </c>
      <c r="D59" s="67" t="s">
        <v>64</v>
      </c>
      <c r="E59" s="52"/>
      <c r="F59" s="52"/>
      <c r="G59" s="52"/>
      <c r="H59" s="52"/>
      <c r="I59" s="53">
        <v>6000.0</v>
      </c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3"/>
      <c r="X59" s="53"/>
      <c r="Y59" s="53"/>
      <c r="Z59" s="53"/>
      <c r="AA59" s="53">
        <v>3000.0</v>
      </c>
      <c r="AB59" s="53">
        <v>1000.0</v>
      </c>
      <c r="AC59" s="53"/>
      <c r="AD59" s="18">
        <f t="shared" ref="AD59:AD62" si="11">SUM(E59:AC59)</f>
        <v>10000</v>
      </c>
      <c r="AE59" s="55" t="s">
        <v>129</v>
      </c>
      <c r="AF59" s="56" t="s">
        <v>130</v>
      </c>
      <c r="AG59" s="21" t="s">
        <v>67</v>
      </c>
      <c r="AH59" s="22">
        <v>45945.0</v>
      </c>
      <c r="AI59" s="21" t="s">
        <v>68</v>
      </c>
      <c r="AJ59" s="22">
        <v>45972.0</v>
      </c>
      <c r="AK59" s="23"/>
    </row>
    <row r="60" ht="28.5" customHeight="1">
      <c r="A60" s="24"/>
      <c r="B60" s="24"/>
      <c r="C60" s="51" t="s">
        <v>69</v>
      </c>
      <c r="D60" s="24"/>
      <c r="E60" s="52"/>
      <c r="F60" s="52"/>
      <c r="G60" s="52"/>
      <c r="H60" s="52"/>
      <c r="I60" s="53">
        <v>1100.0</v>
      </c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3"/>
      <c r="X60" s="53"/>
      <c r="Y60" s="53"/>
      <c r="Z60" s="53"/>
      <c r="AA60" s="53">
        <v>800.0</v>
      </c>
      <c r="AB60" s="53">
        <v>500.0</v>
      </c>
      <c r="AC60" s="53"/>
      <c r="AD60" s="25">
        <f t="shared" si="11"/>
        <v>2400</v>
      </c>
      <c r="AE60" s="8"/>
      <c r="AF60" s="8"/>
      <c r="AG60" s="21" t="s">
        <v>70</v>
      </c>
      <c r="AH60" s="22">
        <v>45987.0</v>
      </c>
      <c r="AI60" s="21" t="s">
        <v>71</v>
      </c>
      <c r="AJ60" s="22">
        <v>46015.0</v>
      </c>
      <c r="AK60" s="23"/>
    </row>
    <row r="61" ht="28.5" customHeight="1">
      <c r="A61" s="24"/>
      <c r="B61" s="24"/>
      <c r="C61" s="51" t="s">
        <v>104</v>
      </c>
      <c r="D61" s="24"/>
      <c r="E61" s="52"/>
      <c r="F61" s="52"/>
      <c r="G61" s="52"/>
      <c r="H61" s="52"/>
      <c r="I61" s="53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3"/>
      <c r="X61" s="53"/>
      <c r="Y61" s="58">
        <f>-SUM(AA61:AB61)</f>
        <v>706.07</v>
      </c>
      <c r="Z61" s="53"/>
      <c r="AA61" s="58">
        <v>-284.99</v>
      </c>
      <c r="AB61" s="58">
        <v>-421.08</v>
      </c>
      <c r="AC61" s="53"/>
      <c r="AD61" s="60">
        <f t="shared" si="11"/>
        <v>0</v>
      </c>
      <c r="AE61" s="68"/>
      <c r="AF61" s="68"/>
      <c r="AG61" s="27" t="s">
        <v>131</v>
      </c>
      <c r="AH61" s="22">
        <v>46133.0</v>
      </c>
      <c r="AI61" s="27" t="s">
        <v>132</v>
      </c>
      <c r="AJ61" s="22" t="s">
        <v>108</v>
      </c>
      <c r="AK61" s="23"/>
    </row>
    <row r="62" ht="28.5" customHeight="1">
      <c r="A62" s="24"/>
      <c r="B62" s="24"/>
      <c r="C62" s="69" t="s">
        <v>78</v>
      </c>
      <c r="D62" s="24"/>
      <c r="E62" s="52"/>
      <c r="F62" s="52"/>
      <c r="G62" s="52"/>
      <c r="H62" s="52"/>
      <c r="I62" s="53">
        <f>1000+100</f>
        <v>1100</v>
      </c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3"/>
      <c r="X62" s="53"/>
      <c r="Y62" s="53">
        <v>0.0</v>
      </c>
      <c r="Z62" s="53"/>
      <c r="AA62" s="59">
        <v>515.5</v>
      </c>
      <c r="AB62" s="70">
        <v>79.0</v>
      </c>
      <c r="AC62" s="53"/>
      <c r="AD62" s="28">
        <f t="shared" si="11"/>
        <v>1694.5</v>
      </c>
      <c r="AE62" s="71"/>
      <c r="AF62" s="61"/>
      <c r="AG62" s="27" t="s">
        <v>133</v>
      </c>
      <c r="AH62" s="22" t="s">
        <v>108</v>
      </c>
      <c r="AI62" s="27" t="s">
        <v>134</v>
      </c>
      <c r="AJ62" s="22" t="s">
        <v>108</v>
      </c>
      <c r="AK62" s="41" t="s">
        <v>86</v>
      </c>
    </row>
    <row r="63" ht="28.5" customHeight="1">
      <c r="A63" s="8"/>
      <c r="B63" s="8"/>
      <c r="C63" s="69" t="s">
        <v>79</v>
      </c>
      <c r="D63" s="8"/>
      <c r="E63" s="52"/>
      <c r="F63" s="52"/>
      <c r="G63" s="52"/>
      <c r="H63" s="52"/>
      <c r="I63" s="54">
        <f>I60-I62</f>
        <v>0</v>
      </c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3"/>
      <c r="X63" s="53"/>
      <c r="Y63" s="59"/>
      <c r="Z63" s="53"/>
      <c r="AA63" s="53">
        <f t="shared" ref="AA63:AB63" si="12">AA60-AA62</f>
        <v>284.5</v>
      </c>
      <c r="AB63" s="53">
        <f t="shared" si="12"/>
        <v>421</v>
      </c>
      <c r="AC63" s="53"/>
      <c r="AD63" s="31">
        <f>AD60-AD62</f>
        <v>705.5</v>
      </c>
      <c r="AE63" s="71"/>
      <c r="AF63" s="61"/>
      <c r="AG63" s="27"/>
      <c r="AH63" s="22"/>
      <c r="AI63" s="27"/>
      <c r="AJ63" s="22"/>
      <c r="AK63" s="23"/>
    </row>
    <row r="64" ht="28.5" customHeight="1">
      <c r="A64" s="66">
        <v>12.0</v>
      </c>
      <c r="B64" s="67" t="s">
        <v>135</v>
      </c>
      <c r="C64" s="51" t="s">
        <v>63</v>
      </c>
      <c r="D64" s="67" t="s">
        <v>64</v>
      </c>
      <c r="E64" s="52"/>
      <c r="F64" s="52"/>
      <c r="G64" s="52"/>
      <c r="H64" s="52">
        <v>6000.0</v>
      </c>
      <c r="I64" s="53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3"/>
      <c r="X64" s="53"/>
      <c r="Y64" s="53"/>
      <c r="Z64" s="53"/>
      <c r="AA64" s="53"/>
      <c r="AB64" s="53"/>
      <c r="AC64" s="53"/>
      <c r="AD64" s="18">
        <f t="shared" ref="AD64:AD67" si="13">SUM(E64:AC64)</f>
        <v>6000</v>
      </c>
      <c r="AE64" s="55" t="s">
        <v>113</v>
      </c>
      <c r="AF64" s="56" t="s">
        <v>136</v>
      </c>
      <c r="AG64" s="21" t="s">
        <v>67</v>
      </c>
      <c r="AH64" s="22">
        <v>45957.0</v>
      </c>
      <c r="AI64" s="21" t="s">
        <v>68</v>
      </c>
      <c r="AJ64" s="22">
        <v>45972.0</v>
      </c>
      <c r="AK64" s="23"/>
    </row>
    <row r="65" ht="28.5" customHeight="1">
      <c r="A65" s="24"/>
      <c r="B65" s="24"/>
      <c r="C65" s="51" t="s">
        <v>69</v>
      </c>
      <c r="D65" s="24"/>
      <c r="E65" s="52"/>
      <c r="F65" s="52"/>
      <c r="G65" s="52"/>
      <c r="H65" s="52">
        <v>200.0</v>
      </c>
      <c r="I65" s="53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3"/>
      <c r="X65" s="53"/>
      <c r="Y65" s="53"/>
      <c r="Z65" s="53"/>
      <c r="AA65" s="53"/>
      <c r="AB65" s="53"/>
      <c r="AC65" s="53"/>
      <c r="AD65" s="25">
        <f t="shared" si="13"/>
        <v>200</v>
      </c>
      <c r="AE65" s="8"/>
      <c r="AF65" s="8"/>
      <c r="AG65" s="21" t="s">
        <v>70</v>
      </c>
      <c r="AH65" s="22">
        <v>46013.0</v>
      </c>
      <c r="AI65" s="21" t="s">
        <v>71</v>
      </c>
      <c r="AJ65" s="22">
        <v>46031.0</v>
      </c>
      <c r="AK65" s="23"/>
    </row>
    <row r="66" ht="28.5" customHeight="1">
      <c r="A66" s="24"/>
      <c r="B66" s="24"/>
      <c r="C66" s="51" t="s">
        <v>104</v>
      </c>
      <c r="D66" s="24"/>
      <c r="E66" s="52"/>
      <c r="F66" s="52"/>
      <c r="G66" s="52"/>
      <c r="H66" s="52">
        <v>-200.0</v>
      </c>
      <c r="I66" s="53">
        <v>200.0</v>
      </c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3"/>
      <c r="X66" s="53"/>
      <c r="Y66" s="53"/>
      <c r="Z66" s="53"/>
      <c r="AA66" s="53"/>
      <c r="AB66" s="53"/>
      <c r="AC66" s="53"/>
      <c r="AD66" s="60">
        <f t="shared" si="13"/>
        <v>0</v>
      </c>
      <c r="AE66" s="68" t="s">
        <v>105</v>
      </c>
      <c r="AF66" s="68"/>
      <c r="AG66" s="27" t="s">
        <v>131</v>
      </c>
      <c r="AH66" s="22">
        <v>46111.0</v>
      </c>
      <c r="AI66" s="27" t="s">
        <v>132</v>
      </c>
      <c r="AJ66" s="22">
        <v>46126.0</v>
      </c>
      <c r="AK66" s="23"/>
    </row>
    <row r="67" ht="28.5" customHeight="1">
      <c r="A67" s="24"/>
      <c r="B67" s="24"/>
      <c r="C67" s="69" t="s">
        <v>78</v>
      </c>
      <c r="D67" s="24"/>
      <c r="E67" s="52"/>
      <c r="F67" s="52"/>
      <c r="G67" s="52"/>
      <c r="H67" s="52"/>
      <c r="I67" s="53">
        <v>200.0</v>
      </c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3"/>
      <c r="X67" s="53"/>
      <c r="Y67" s="53"/>
      <c r="Z67" s="53"/>
      <c r="AA67" s="53"/>
      <c r="AB67" s="53"/>
      <c r="AC67" s="53"/>
      <c r="AD67" s="28">
        <f t="shared" si="13"/>
        <v>200</v>
      </c>
      <c r="AE67" s="71"/>
      <c r="AF67" s="61"/>
      <c r="AG67" s="27" t="s">
        <v>133</v>
      </c>
      <c r="AH67" s="22">
        <v>46128.0</v>
      </c>
      <c r="AI67" s="27" t="s">
        <v>134</v>
      </c>
      <c r="AJ67" s="22">
        <v>46139.0</v>
      </c>
      <c r="AK67" s="23"/>
    </row>
    <row r="68" ht="28.5" customHeight="1">
      <c r="A68" s="8"/>
      <c r="B68" s="8"/>
      <c r="C68" s="69" t="s">
        <v>79</v>
      </c>
      <c r="D68" s="8"/>
      <c r="E68" s="52"/>
      <c r="F68" s="52"/>
      <c r="G68" s="52"/>
      <c r="H68" s="52">
        <f>SUM(H65:H66)-H67</f>
        <v>0</v>
      </c>
      <c r="I68" s="54">
        <f>I66-I67</f>
        <v>0</v>
      </c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3"/>
      <c r="X68" s="53"/>
      <c r="Y68" s="53"/>
      <c r="Z68" s="53"/>
      <c r="AA68" s="53"/>
      <c r="AB68" s="53"/>
      <c r="AC68" s="53"/>
      <c r="AD68" s="31">
        <f>AD65-AD67</f>
        <v>0</v>
      </c>
      <c r="AE68" s="71"/>
      <c r="AF68" s="61"/>
      <c r="AG68" s="27"/>
      <c r="AH68" s="22"/>
      <c r="AI68" s="27"/>
      <c r="AJ68" s="22"/>
      <c r="AK68" s="23"/>
    </row>
    <row r="69" ht="28.5" customHeight="1">
      <c r="A69" s="12">
        <v>13.0</v>
      </c>
      <c r="B69" s="13" t="s">
        <v>137</v>
      </c>
      <c r="C69" s="14" t="s">
        <v>63</v>
      </c>
      <c r="D69" s="13" t="s">
        <v>64</v>
      </c>
      <c r="E69" s="15"/>
      <c r="F69" s="15"/>
      <c r="G69" s="15"/>
      <c r="H69" s="16"/>
      <c r="I69" s="16"/>
      <c r="J69" s="16">
        <v>6000.0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6"/>
      <c r="Z69" s="16"/>
      <c r="AA69" s="16"/>
      <c r="AB69" s="16"/>
      <c r="AC69" s="16"/>
      <c r="AD69" s="18">
        <f t="shared" ref="AD69:AD73" si="14">SUM(E69:AC69)</f>
        <v>6000</v>
      </c>
      <c r="AE69" s="19" t="s">
        <v>138</v>
      </c>
      <c r="AF69" s="20" t="s">
        <v>139</v>
      </c>
      <c r="AG69" s="21" t="s">
        <v>67</v>
      </c>
      <c r="AH69" s="22">
        <v>45945.0</v>
      </c>
      <c r="AI69" s="21" t="s">
        <v>68</v>
      </c>
      <c r="AJ69" s="22">
        <v>45972.0</v>
      </c>
      <c r="AK69" s="23"/>
    </row>
    <row r="70" ht="28.5" customHeight="1">
      <c r="A70" s="24"/>
      <c r="B70" s="24"/>
      <c r="C70" s="14" t="s">
        <v>69</v>
      </c>
      <c r="D70" s="24"/>
      <c r="E70" s="15"/>
      <c r="F70" s="15"/>
      <c r="G70" s="15"/>
      <c r="H70" s="16"/>
      <c r="I70" s="16"/>
      <c r="J70" s="17">
        <v>950.0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6"/>
      <c r="Z70" s="16"/>
      <c r="AA70" s="16"/>
      <c r="AB70" s="16"/>
      <c r="AC70" s="16"/>
      <c r="AD70" s="25">
        <f t="shared" si="14"/>
        <v>950</v>
      </c>
      <c r="AE70" s="8"/>
      <c r="AF70" s="8"/>
      <c r="AG70" s="21" t="s">
        <v>70</v>
      </c>
      <c r="AH70" s="22">
        <v>45994.0</v>
      </c>
      <c r="AI70" s="21" t="s">
        <v>71</v>
      </c>
      <c r="AJ70" s="22">
        <v>46022.0</v>
      </c>
      <c r="AK70" s="23"/>
    </row>
    <row r="71" ht="27.75" customHeight="1">
      <c r="A71" s="24"/>
      <c r="B71" s="24"/>
      <c r="C71" s="26" t="s">
        <v>73</v>
      </c>
      <c r="D71" s="24"/>
      <c r="E71" s="15"/>
      <c r="F71" s="15"/>
      <c r="G71" s="15"/>
      <c r="H71" s="16"/>
      <c r="I71" s="16"/>
      <c r="J71" s="17">
        <v>3000.0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6"/>
      <c r="Z71" s="16"/>
      <c r="AA71" s="16"/>
      <c r="AB71" s="16"/>
      <c r="AC71" s="16"/>
      <c r="AD71" s="18">
        <f t="shared" si="14"/>
        <v>3000</v>
      </c>
      <c r="AE71" s="19"/>
      <c r="AF71" s="20"/>
      <c r="AG71" s="27" t="s">
        <v>95</v>
      </c>
      <c r="AH71" s="22">
        <v>46132.0</v>
      </c>
      <c r="AI71" s="27" t="s">
        <v>132</v>
      </c>
      <c r="AJ71" s="22" t="s">
        <v>108</v>
      </c>
      <c r="AK71" s="23"/>
    </row>
    <row r="72" ht="28.5" customHeight="1">
      <c r="A72" s="24"/>
      <c r="B72" s="24"/>
      <c r="C72" s="14" t="s">
        <v>76</v>
      </c>
      <c r="D72" s="24"/>
      <c r="E72" s="15"/>
      <c r="F72" s="15"/>
      <c r="G72" s="15"/>
      <c r="H72" s="16"/>
      <c r="I72" s="16"/>
      <c r="J72" s="17">
        <v>0.0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6"/>
      <c r="Z72" s="16"/>
      <c r="AA72" s="16"/>
      <c r="AB72" s="16"/>
      <c r="AC72" s="16"/>
      <c r="AD72" s="25">
        <f t="shared" si="14"/>
        <v>0</v>
      </c>
      <c r="AE72" s="8"/>
      <c r="AF72" s="8"/>
      <c r="AG72" s="27" t="s">
        <v>97</v>
      </c>
      <c r="AH72" s="22" t="s">
        <v>108</v>
      </c>
      <c r="AI72" s="27" t="s">
        <v>134</v>
      </c>
      <c r="AJ72" s="22" t="s">
        <v>108</v>
      </c>
      <c r="AK72" s="41" t="s">
        <v>127</v>
      </c>
    </row>
    <row r="73" ht="28.5" customHeight="1">
      <c r="A73" s="24"/>
      <c r="B73" s="24"/>
      <c r="C73" s="26" t="s">
        <v>78</v>
      </c>
      <c r="D73" s="24"/>
      <c r="E73" s="15"/>
      <c r="F73" s="15"/>
      <c r="G73" s="15"/>
      <c r="H73" s="16"/>
      <c r="I73" s="16"/>
      <c r="J73" s="16">
        <v>950.0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6"/>
      <c r="Z73" s="16"/>
      <c r="AA73" s="16"/>
      <c r="AB73" s="16"/>
      <c r="AC73" s="16"/>
      <c r="AD73" s="28">
        <f t="shared" si="14"/>
        <v>950</v>
      </c>
      <c r="AE73" s="29"/>
      <c r="AF73" s="30"/>
      <c r="AG73" s="27"/>
      <c r="AH73" s="22"/>
      <c r="AI73" s="27"/>
      <c r="AJ73" s="22"/>
      <c r="AK73" s="23"/>
    </row>
    <row r="74" ht="28.5" customHeight="1">
      <c r="A74" s="8"/>
      <c r="B74" s="8"/>
      <c r="C74" s="26" t="s">
        <v>79</v>
      </c>
      <c r="D74" s="8"/>
      <c r="E74" s="15"/>
      <c r="F74" s="15"/>
      <c r="G74" s="15"/>
      <c r="H74" s="16"/>
      <c r="I74" s="16"/>
      <c r="J74" s="17">
        <f>J70+J72-J73</f>
        <v>0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6"/>
      <c r="Z74" s="16"/>
      <c r="AA74" s="16"/>
      <c r="AB74" s="16"/>
      <c r="AC74" s="16"/>
      <c r="AD74" s="31">
        <f>AD70+AD72-AD73</f>
        <v>0</v>
      </c>
      <c r="AE74" s="29"/>
      <c r="AF74" s="30"/>
      <c r="AG74" s="27"/>
      <c r="AH74" s="22"/>
      <c r="AI74" s="27"/>
      <c r="AJ74" s="22"/>
      <c r="AK74" s="23"/>
    </row>
    <row r="75" ht="28.5" customHeight="1">
      <c r="A75" s="12">
        <v>14.0</v>
      </c>
      <c r="B75" s="13" t="s">
        <v>140</v>
      </c>
      <c r="C75" s="14" t="s">
        <v>63</v>
      </c>
      <c r="D75" s="13" t="s">
        <v>64</v>
      </c>
      <c r="E75" s="15"/>
      <c r="F75" s="15"/>
      <c r="G75" s="15"/>
      <c r="H75" s="16"/>
      <c r="I75" s="16"/>
      <c r="J75" s="16">
        <v>6000.0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6"/>
      <c r="Z75" s="16"/>
      <c r="AA75" s="16"/>
      <c r="AB75" s="16"/>
      <c r="AC75" s="16"/>
      <c r="AD75" s="18">
        <f t="shared" ref="AD75:AD79" si="15">SUM(E75:AC75)</f>
        <v>6000</v>
      </c>
      <c r="AE75" s="19" t="s">
        <v>138</v>
      </c>
      <c r="AF75" s="20" t="s">
        <v>141</v>
      </c>
      <c r="AG75" s="21" t="s">
        <v>67</v>
      </c>
      <c r="AH75" s="22">
        <v>45946.0</v>
      </c>
      <c r="AI75" s="21" t="s">
        <v>68</v>
      </c>
      <c r="AJ75" s="22">
        <v>45975.0</v>
      </c>
      <c r="AK75" s="23"/>
    </row>
    <row r="76" ht="28.5" customHeight="1">
      <c r="A76" s="24"/>
      <c r="B76" s="24"/>
      <c r="C76" s="14" t="s">
        <v>69</v>
      </c>
      <c r="D76" s="24"/>
      <c r="E76" s="15"/>
      <c r="F76" s="15"/>
      <c r="G76" s="15"/>
      <c r="H76" s="16"/>
      <c r="I76" s="16"/>
      <c r="J76" s="17">
        <v>750.0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6"/>
      <c r="Z76" s="16"/>
      <c r="AA76" s="16"/>
      <c r="AB76" s="16"/>
      <c r="AC76" s="16"/>
      <c r="AD76" s="25">
        <f t="shared" si="15"/>
        <v>750</v>
      </c>
      <c r="AE76" s="8"/>
      <c r="AF76" s="8"/>
      <c r="AG76" s="21" t="s">
        <v>70</v>
      </c>
      <c r="AH76" s="22">
        <v>45994.0</v>
      </c>
      <c r="AI76" s="21" t="s">
        <v>71</v>
      </c>
      <c r="AJ76" s="22">
        <v>46022.0</v>
      </c>
      <c r="AK76" s="23"/>
    </row>
    <row r="77" ht="27.75" customHeight="1">
      <c r="A77" s="24"/>
      <c r="B77" s="24"/>
      <c r="C77" s="26" t="s">
        <v>73</v>
      </c>
      <c r="D77" s="24"/>
      <c r="E77" s="15"/>
      <c r="F77" s="15"/>
      <c r="G77" s="15"/>
      <c r="H77" s="16"/>
      <c r="I77" s="16"/>
      <c r="J77" s="17">
        <v>2250.0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6"/>
      <c r="Z77" s="16"/>
      <c r="AA77" s="16"/>
      <c r="AB77" s="16"/>
      <c r="AC77" s="16"/>
      <c r="AD77" s="18">
        <f t="shared" si="15"/>
        <v>2250</v>
      </c>
      <c r="AE77" s="19"/>
      <c r="AF77" s="20"/>
      <c r="AG77" s="27" t="s">
        <v>95</v>
      </c>
      <c r="AH77" s="22">
        <v>46146.0</v>
      </c>
      <c r="AI77" s="27" t="s">
        <v>132</v>
      </c>
      <c r="AJ77" s="22" t="s">
        <v>108</v>
      </c>
      <c r="AK77" s="23"/>
    </row>
    <row r="78" ht="28.5" customHeight="1">
      <c r="A78" s="24"/>
      <c r="B78" s="24"/>
      <c r="C78" s="14" t="s">
        <v>76</v>
      </c>
      <c r="D78" s="24"/>
      <c r="E78" s="15"/>
      <c r="F78" s="15"/>
      <c r="G78" s="15"/>
      <c r="H78" s="16"/>
      <c r="I78" s="16"/>
      <c r="J78" s="17">
        <v>0.0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6"/>
      <c r="Z78" s="16"/>
      <c r="AA78" s="16"/>
      <c r="AB78" s="16"/>
      <c r="AC78" s="16"/>
      <c r="AD78" s="25">
        <f t="shared" si="15"/>
        <v>0</v>
      </c>
      <c r="AE78" s="8"/>
      <c r="AF78" s="8"/>
      <c r="AG78" s="27" t="s">
        <v>97</v>
      </c>
      <c r="AH78" s="22" t="s">
        <v>108</v>
      </c>
      <c r="AI78" s="27" t="s">
        <v>134</v>
      </c>
      <c r="AJ78" s="22" t="s">
        <v>108</v>
      </c>
      <c r="AK78" s="41" t="s">
        <v>127</v>
      </c>
    </row>
    <row r="79" ht="28.5" customHeight="1">
      <c r="A79" s="24"/>
      <c r="B79" s="24"/>
      <c r="C79" s="26" t="s">
        <v>78</v>
      </c>
      <c r="D79" s="24"/>
      <c r="E79" s="15"/>
      <c r="F79" s="15"/>
      <c r="G79" s="15"/>
      <c r="H79" s="16"/>
      <c r="I79" s="16"/>
      <c r="J79" s="16">
        <v>750.0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6"/>
      <c r="Z79" s="16"/>
      <c r="AA79" s="16"/>
      <c r="AB79" s="16"/>
      <c r="AC79" s="16"/>
      <c r="AD79" s="28">
        <f t="shared" si="15"/>
        <v>750</v>
      </c>
      <c r="AE79" s="29"/>
      <c r="AF79" s="30"/>
      <c r="AG79" s="27"/>
      <c r="AH79" s="22"/>
      <c r="AI79" s="27"/>
      <c r="AJ79" s="22"/>
      <c r="AK79" s="23"/>
    </row>
    <row r="80" ht="28.5" customHeight="1">
      <c r="A80" s="8"/>
      <c r="B80" s="8"/>
      <c r="C80" s="26" t="s">
        <v>79</v>
      </c>
      <c r="D80" s="8"/>
      <c r="E80" s="15"/>
      <c r="F80" s="15"/>
      <c r="G80" s="15"/>
      <c r="H80" s="16"/>
      <c r="I80" s="16"/>
      <c r="J80" s="17">
        <f>J76+J78-J79</f>
        <v>0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6"/>
      <c r="Z80" s="16"/>
      <c r="AA80" s="16"/>
      <c r="AB80" s="16"/>
      <c r="AC80" s="16"/>
      <c r="AD80" s="31">
        <f>AD76-AD79</f>
        <v>0</v>
      </c>
      <c r="AE80" s="29"/>
      <c r="AF80" s="30"/>
      <c r="AG80" s="27"/>
      <c r="AH80" s="22"/>
      <c r="AI80" s="27"/>
      <c r="AJ80" s="22"/>
      <c r="AK80" s="23"/>
    </row>
    <row r="81" ht="28.5" customHeight="1">
      <c r="A81" s="66">
        <v>15.0</v>
      </c>
      <c r="B81" s="67" t="s">
        <v>142</v>
      </c>
      <c r="C81" s="51" t="s">
        <v>63</v>
      </c>
      <c r="D81" s="67" t="s">
        <v>143</v>
      </c>
      <c r="E81" s="52"/>
      <c r="F81" s="52"/>
      <c r="G81" s="52"/>
      <c r="H81" s="54">
        <v>6000.0</v>
      </c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3"/>
      <c r="X81" s="53"/>
      <c r="Y81" s="53"/>
      <c r="Z81" s="53"/>
      <c r="AA81" s="53"/>
      <c r="AB81" s="53"/>
      <c r="AC81" s="53"/>
      <c r="AD81" s="18">
        <f t="shared" ref="AD81:AD84" si="16">SUM(E81:AC81)</f>
        <v>6000</v>
      </c>
      <c r="AE81" s="55" t="s">
        <v>124</v>
      </c>
      <c r="AF81" s="56" t="s">
        <v>144</v>
      </c>
      <c r="AG81" s="21" t="s">
        <v>67</v>
      </c>
      <c r="AH81" s="22">
        <v>45957.0</v>
      </c>
      <c r="AI81" s="21" t="s">
        <v>68</v>
      </c>
      <c r="AJ81" s="22">
        <v>45972.0</v>
      </c>
      <c r="AK81" s="23"/>
    </row>
    <row r="82" ht="28.5" customHeight="1">
      <c r="A82" s="24"/>
      <c r="B82" s="24"/>
      <c r="C82" s="51" t="s">
        <v>69</v>
      </c>
      <c r="D82" s="24"/>
      <c r="E82" s="52"/>
      <c r="F82" s="52"/>
      <c r="G82" s="52"/>
      <c r="H82" s="54">
        <v>515.0</v>
      </c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3"/>
      <c r="X82" s="53"/>
      <c r="Y82" s="53"/>
      <c r="Z82" s="53"/>
      <c r="AA82" s="53"/>
      <c r="AB82" s="53"/>
      <c r="AC82" s="53"/>
      <c r="AD82" s="25">
        <f t="shared" si="16"/>
        <v>515</v>
      </c>
      <c r="AE82" s="8"/>
      <c r="AF82" s="8"/>
      <c r="AG82" s="21" t="s">
        <v>70</v>
      </c>
      <c r="AH82" s="22">
        <v>45994.0</v>
      </c>
      <c r="AI82" s="21" t="s">
        <v>71</v>
      </c>
      <c r="AJ82" s="22">
        <v>46035.0</v>
      </c>
      <c r="AK82" s="23" t="s">
        <v>103</v>
      </c>
    </row>
    <row r="83" ht="28.5" customHeight="1">
      <c r="A83" s="24"/>
      <c r="B83" s="24"/>
      <c r="C83" s="51" t="s">
        <v>104</v>
      </c>
      <c r="D83" s="24"/>
      <c r="E83" s="52"/>
      <c r="F83" s="52"/>
      <c r="G83" s="52"/>
      <c r="H83" s="54">
        <v>-401.0</v>
      </c>
      <c r="I83" s="54">
        <f>H82-H84</f>
        <v>401</v>
      </c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3"/>
      <c r="X83" s="53"/>
      <c r="Y83" s="53"/>
      <c r="Z83" s="53"/>
      <c r="AA83" s="53"/>
      <c r="AB83" s="53"/>
      <c r="AC83" s="53"/>
      <c r="AD83" s="60">
        <f t="shared" si="16"/>
        <v>0</v>
      </c>
      <c r="AE83" s="68"/>
      <c r="AF83" s="68"/>
      <c r="AG83" s="27" t="s">
        <v>131</v>
      </c>
      <c r="AH83" s="22">
        <v>46139.0</v>
      </c>
      <c r="AI83" s="27" t="s">
        <v>132</v>
      </c>
      <c r="AJ83" s="22" t="s">
        <v>108</v>
      </c>
      <c r="AK83" s="23"/>
    </row>
    <row r="84" ht="28.5" customHeight="1">
      <c r="A84" s="24"/>
      <c r="B84" s="24"/>
      <c r="C84" s="69" t="s">
        <v>78</v>
      </c>
      <c r="D84" s="24"/>
      <c r="E84" s="52"/>
      <c r="F84" s="52"/>
      <c r="G84" s="52"/>
      <c r="H84" s="54">
        <v>114.0</v>
      </c>
      <c r="I84" s="54">
        <v>0.0</v>
      </c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3"/>
      <c r="X84" s="53"/>
      <c r="Y84" s="53"/>
      <c r="Z84" s="53"/>
      <c r="AA84" s="53"/>
      <c r="AB84" s="53"/>
      <c r="AC84" s="53"/>
      <c r="AD84" s="28">
        <f t="shared" si="16"/>
        <v>114</v>
      </c>
      <c r="AE84" s="71"/>
      <c r="AF84" s="61"/>
      <c r="AG84" s="27" t="s">
        <v>133</v>
      </c>
      <c r="AH84" s="22" t="s">
        <v>108</v>
      </c>
      <c r="AI84" s="27" t="s">
        <v>134</v>
      </c>
      <c r="AJ84" s="22" t="s">
        <v>108</v>
      </c>
      <c r="AK84" s="23"/>
    </row>
    <row r="85" ht="28.5" customHeight="1">
      <c r="A85" s="8"/>
      <c r="B85" s="8"/>
      <c r="C85" s="69" t="s">
        <v>79</v>
      </c>
      <c r="D85" s="8"/>
      <c r="E85" s="52"/>
      <c r="F85" s="52"/>
      <c r="G85" s="52"/>
      <c r="H85" s="54">
        <f>H82-H84</f>
        <v>401</v>
      </c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3"/>
      <c r="X85" s="53"/>
      <c r="Y85" s="53"/>
      <c r="Z85" s="53"/>
      <c r="AA85" s="53"/>
      <c r="AB85" s="53"/>
      <c r="AC85" s="53"/>
      <c r="AD85" s="31">
        <f>AD82-AD84</f>
        <v>401</v>
      </c>
      <c r="AE85" s="71"/>
      <c r="AF85" s="61"/>
      <c r="AG85" s="27"/>
      <c r="AH85" s="22"/>
      <c r="AI85" s="27"/>
      <c r="AJ85" s="22"/>
      <c r="AK85" s="23"/>
    </row>
    <row r="86" ht="28.5" customHeight="1">
      <c r="A86" s="12">
        <v>16.0</v>
      </c>
      <c r="B86" s="13" t="s">
        <v>145</v>
      </c>
      <c r="C86" s="14" t="s">
        <v>63</v>
      </c>
      <c r="D86" s="13" t="s">
        <v>143</v>
      </c>
      <c r="E86" s="15"/>
      <c r="F86" s="15"/>
      <c r="G86" s="15"/>
      <c r="H86" s="16"/>
      <c r="I86" s="16"/>
      <c r="J86" s="16">
        <v>6000.0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6"/>
      <c r="Z86" s="16"/>
      <c r="AA86" s="16"/>
      <c r="AB86" s="16"/>
      <c r="AC86" s="16"/>
      <c r="AD86" s="18">
        <f t="shared" ref="AD86:AD90" si="17">SUM(E86:AC86)</f>
        <v>6000</v>
      </c>
      <c r="AE86" s="19" t="s">
        <v>146</v>
      </c>
      <c r="AF86" s="20" t="s">
        <v>147</v>
      </c>
      <c r="AG86" s="21" t="s">
        <v>67</v>
      </c>
      <c r="AH86" s="22">
        <v>45958.0</v>
      </c>
      <c r="AI86" s="21" t="s">
        <v>68</v>
      </c>
      <c r="AJ86" s="22">
        <v>45975.0</v>
      </c>
      <c r="AK86" s="23"/>
    </row>
    <row r="87" ht="28.5" customHeight="1">
      <c r="A87" s="24"/>
      <c r="B87" s="24"/>
      <c r="C87" s="14" t="s">
        <v>69</v>
      </c>
      <c r="D87" s="24"/>
      <c r="E87" s="15"/>
      <c r="F87" s="15"/>
      <c r="G87" s="15"/>
      <c r="H87" s="16"/>
      <c r="I87" s="16"/>
      <c r="J87" s="17">
        <v>250.0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6"/>
      <c r="Z87" s="16"/>
      <c r="AA87" s="16"/>
      <c r="AB87" s="16"/>
      <c r="AC87" s="16"/>
      <c r="AD87" s="25">
        <f t="shared" si="17"/>
        <v>250</v>
      </c>
      <c r="AE87" s="8"/>
      <c r="AF87" s="8"/>
      <c r="AG87" s="21" t="s">
        <v>70</v>
      </c>
      <c r="AH87" s="22">
        <v>45982.0</v>
      </c>
      <c r="AI87" s="21" t="s">
        <v>71</v>
      </c>
      <c r="AJ87" s="22">
        <v>46007.0</v>
      </c>
      <c r="AK87" s="23" t="s">
        <v>115</v>
      </c>
    </row>
    <row r="88" ht="27.75" customHeight="1">
      <c r="A88" s="24"/>
      <c r="B88" s="24"/>
      <c r="C88" s="26" t="s">
        <v>73</v>
      </c>
      <c r="D88" s="24"/>
      <c r="E88" s="15"/>
      <c r="F88" s="15"/>
      <c r="G88" s="15"/>
      <c r="H88" s="16"/>
      <c r="I88" s="16"/>
      <c r="J88" s="72">
        <v>2750.0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6"/>
      <c r="Z88" s="16"/>
      <c r="AA88" s="16"/>
      <c r="AB88" s="16"/>
      <c r="AC88" s="16"/>
      <c r="AD88" s="18">
        <f t="shared" si="17"/>
        <v>2750</v>
      </c>
      <c r="AE88" s="19"/>
      <c r="AF88" s="20"/>
      <c r="AG88" s="27" t="s">
        <v>95</v>
      </c>
      <c r="AH88" s="73">
        <v>46163.0</v>
      </c>
      <c r="AI88" s="21" t="s">
        <v>68</v>
      </c>
      <c r="AJ88" s="22" t="s">
        <v>108</v>
      </c>
      <c r="AK88" s="23"/>
    </row>
    <row r="89" ht="28.5" customHeight="1">
      <c r="A89" s="24"/>
      <c r="B89" s="24"/>
      <c r="C89" s="14" t="s">
        <v>76</v>
      </c>
      <c r="D89" s="24"/>
      <c r="E89" s="15"/>
      <c r="F89" s="15"/>
      <c r="G89" s="15"/>
      <c r="H89" s="16"/>
      <c r="I89" s="16"/>
      <c r="J89" s="17">
        <v>0.0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6"/>
      <c r="Z89" s="16"/>
      <c r="AA89" s="16"/>
      <c r="AB89" s="16"/>
      <c r="AC89" s="16"/>
      <c r="AD89" s="25">
        <f t="shared" si="17"/>
        <v>0</v>
      </c>
      <c r="AE89" s="8"/>
      <c r="AF89" s="8"/>
      <c r="AG89" s="27" t="s">
        <v>97</v>
      </c>
      <c r="AH89" s="22" t="s">
        <v>108</v>
      </c>
      <c r="AI89" s="21" t="s">
        <v>71</v>
      </c>
      <c r="AJ89" s="22" t="s">
        <v>108</v>
      </c>
      <c r="AK89" s="41"/>
    </row>
    <row r="90" ht="28.5" customHeight="1">
      <c r="A90" s="24"/>
      <c r="B90" s="24"/>
      <c r="C90" s="26" t="s">
        <v>78</v>
      </c>
      <c r="D90" s="24"/>
      <c r="E90" s="15"/>
      <c r="F90" s="15"/>
      <c r="G90" s="15"/>
      <c r="H90" s="16"/>
      <c r="I90" s="16"/>
      <c r="J90" s="16">
        <v>250.0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6"/>
      <c r="Z90" s="16"/>
      <c r="AA90" s="16"/>
      <c r="AB90" s="16"/>
      <c r="AC90" s="16"/>
      <c r="AD90" s="28">
        <f t="shared" si="17"/>
        <v>250</v>
      </c>
      <c r="AE90" s="29"/>
      <c r="AF90" s="30"/>
      <c r="AG90" s="27"/>
      <c r="AH90" s="22"/>
      <c r="AI90" s="27"/>
      <c r="AJ90" s="22"/>
      <c r="AK90" s="23"/>
    </row>
    <row r="91" ht="28.5" customHeight="1">
      <c r="A91" s="8"/>
      <c r="B91" s="8"/>
      <c r="C91" s="26" t="s">
        <v>79</v>
      </c>
      <c r="D91" s="8"/>
      <c r="E91" s="15"/>
      <c r="F91" s="15"/>
      <c r="G91" s="15"/>
      <c r="H91" s="16"/>
      <c r="I91" s="16"/>
      <c r="J91" s="17">
        <f>J87-J90</f>
        <v>0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6"/>
      <c r="Z91" s="16"/>
      <c r="AA91" s="16"/>
      <c r="AB91" s="16"/>
      <c r="AC91" s="16"/>
      <c r="AD91" s="31">
        <f>AD87-AD90</f>
        <v>0</v>
      </c>
      <c r="AE91" s="29"/>
      <c r="AF91" s="30"/>
      <c r="AG91" s="27"/>
      <c r="AH91" s="22"/>
      <c r="AI91" s="27"/>
      <c r="AJ91" s="22"/>
      <c r="AK91" s="23"/>
    </row>
    <row r="92" ht="28.5" customHeight="1">
      <c r="A92" s="12">
        <v>17.0</v>
      </c>
      <c r="B92" s="13" t="s">
        <v>148</v>
      </c>
      <c r="C92" s="14" t="s">
        <v>63</v>
      </c>
      <c r="D92" s="13" t="s">
        <v>143</v>
      </c>
      <c r="E92" s="15"/>
      <c r="F92" s="15"/>
      <c r="G92" s="15"/>
      <c r="H92" s="16"/>
      <c r="I92" s="16"/>
      <c r="J92" s="16">
        <v>6000.0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6"/>
      <c r="Z92" s="16"/>
      <c r="AA92" s="16"/>
      <c r="AB92" s="16"/>
      <c r="AC92" s="16"/>
      <c r="AD92" s="18">
        <f t="shared" ref="AD92:AD96" si="18">SUM(E92:AC92)</f>
        <v>6000</v>
      </c>
      <c r="AE92" s="19" t="s">
        <v>149</v>
      </c>
      <c r="AF92" s="20" t="s">
        <v>150</v>
      </c>
      <c r="AG92" s="21" t="s">
        <v>67</v>
      </c>
      <c r="AH92" s="22">
        <v>45958.0</v>
      </c>
      <c r="AI92" s="21" t="s">
        <v>68</v>
      </c>
      <c r="AJ92" s="22">
        <v>45974.0</v>
      </c>
      <c r="AK92" s="23"/>
    </row>
    <row r="93" ht="28.5" customHeight="1">
      <c r="A93" s="24"/>
      <c r="B93" s="24"/>
      <c r="C93" s="14" t="s">
        <v>69</v>
      </c>
      <c r="D93" s="24"/>
      <c r="E93" s="15"/>
      <c r="F93" s="15"/>
      <c r="G93" s="15"/>
      <c r="H93" s="16"/>
      <c r="I93" s="16"/>
      <c r="J93" s="17">
        <v>150.0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6"/>
      <c r="Z93" s="16"/>
      <c r="AA93" s="16"/>
      <c r="AB93" s="16"/>
      <c r="AC93" s="16"/>
      <c r="AD93" s="25">
        <f t="shared" si="18"/>
        <v>150</v>
      </c>
      <c r="AE93" s="8"/>
      <c r="AF93" s="8"/>
      <c r="AG93" s="21" t="s">
        <v>70</v>
      </c>
      <c r="AH93" s="22">
        <v>46000.0</v>
      </c>
      <c r="AI93" s="21" t="s">
        <v>71</v>
      </c>
      <c r="AJ93" s="22">
        <v>46028.0</v>
      </c>
      <c r="AK93" s="23" t="s">
        <v>115</v>
      </c>
    </row>
    <row r="94" ht="27.75" customHeight="1">
      <c r="A94" s="24"/>
      <c r="B94" s="24"/>
      <c r="C94" s="26" t="s">
        <v>73</v>
      </c>
      <c r="D94" s="24"/>
      <c r="E94" s="15"/>
      <c r="F94" s="15"/>
      <c r="G94" s="15"/>
      <c r="H94" s="16"/>
      <c r="I94" s="16"/>
      <c r="J94" s="72">
        <v>2850.0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6"/>
      <c r="Z94" s="16"/>
      <c r="AA94" s="16"/>
      <c r="AB94" s="16"/>
      <c r="AC94" s="16"/>
      <c r="AD94" s="18">
        <f t="shared" si="18"/>
        <v>2850</v>
      </c>
      <c r="AE94" s="19"/>
      <c r="AF94" s="20"/>
      <c r="AG94" s="27" t="s">
        <v>95</v>
      </c>
      <c r="AH94" s="73">
        <v>46163.0</v>
      </c>
      <c r="AI94" s="21" t="s">
        <v>68</v>
      </c>
      <c r="AJ94" s="22" t="s">
        <v>108</v>
      </c>
      <c r="AK94" s="23"/>
    </row>
    <row r="95" ht="28.5" customHeight="1">
      <c r="A95" s="24"/>
      <c r="B95" s="24"/>
      <c r="C95" s="14" t="s">
        <v>76</v>
      </c>
      <c r="D95" s="24"/>
      <c r="E95" s="15"/>
      <c r="F95" s="15"/>
      <c r="G95" s="15"/>
      <c r="H95" s="16"/>
      <c r="I95" s="16"/>
      <c r="J95" s="17">
        <v>0.0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6"/>
      <c r="Z95" s="16"/>
      <c r="AA95" s="16"/>
      <c r="AB95" s="16"/>
      <c r="AC95" s="16"/>
      <c r="AD95" s="25">
        <f t="shared" si="18"/>
        <v>0</v>
      </c>
      <c r="AE95" s="8"/>
      <c r="AF95" s="8"/>
      <c r="AG95" s="27" t="s">
        <v>97</v>
      </c>
      <c r="AH95" s="22" t="s">
        <v>108</v>
      </c>
      <c r="AI95" s="21" t="s">
        <v>71</v>
      </c>
      <c r="AJ95" s="22" t="s">
        <v>108</v>
      </c>
      <c r="AK95" s="41"/>
    </row>
    <row r="96" ht="28.5" customHeight="1">
      <c r="A96" s="24"/>
      <c r="B96" s="24"/>
      <c r="C96" s="26" t="s">
        <v>78</v>
      </c>
      <c r="D96" s="24"/>
      <c r="E96" s="15"/>
      <c r="F96" s="15"/>
      <c r="G96" s="15"/>
      <c r="H96" s="16"/>
      <c r="I96" s="16"/>
      <c r="J96" s="16">
        <v>150.0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6"/>
      <c r="Z96" s="16"/>
      <c r="AA96" s="16"/>
      <c r="AB96" s="16"/>
      <c r="AC96" s="16"/>
      <c r="AD96" s="28">
        <f t="shared" si="18"/>
        <v>150</v>
      </c>
      <c r="AE96" s="29"/>
      <c r="AF96" s="30"/>
      <c r="AG96" s="27"/>
      <c r="AH96" s="22"/>
      <c r="AI96" s="27"/>
      <c r="AJ96" s="22"/>
      <c r="AK96" s="23"/>
    </row>
    <row r="97" ht="28.5" customHeight="1">
      <c r="A97" s="8"/>
      <c r="B97" s="8"/>
      <c r="C97" s="26" t="s">
        <v>79</v>
      </c>
      <c r="D97" s="8"/>
      <c r="E97" s="15"/>
      <c r="F97" s="15"/>
      <c r="G97" s="15"/>
      <c r="H97" s="16"/>
      <c r="I97" s="16"/>
      <c r="J97" s="17">
        <f>J93+J95-J96</f>
        <v>0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6"/>
      <c r="Z97" s="16"/>
      <c r="AA97" s="16"/>
      <c r="AB97" s="16"/>
      <c r="AC97" s="16"/>
      <c r="AD97" s="31">
        <f>AD93-AD96</f>
        <v>0</v>
      </c>
      <c r="AE97" s="29"/>
      <c r="AF97" s="30"/>
      <c r="AG97" s="27"/>
      <c r="AH97" s="22"/>
      <c r="AI97" s="27"/>
      <c r="AJ97" s="22"/>
      <c r="AK97" s="23"/>
    </row>
    <row r="98" ht="28.5" customHeight="1">
      <c r="A98" s="32">
        <v>18.0</v>
      </c>
      <c r="B98" s="33" t="s">
        <v>151</v>
      </c>
      <c r="C98" s="74" t="s">
        <v>63</v>
      </c>
      <c r="D98" s="33" t="s">
        <v>143</v>
      </c>
      <c r="E98" s="35"/>
      <c r="F98" s="35"/>
      <c r="G98" s="37"/>
      <c r="H98" s="37"/>
      <c r="I98" s="36">
        <v>6000.0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6"/>
      <c r="Z98" s="36"/>
      <c r="AA98" s="36"/>
      <c r="AB98" s="36"/>
      <c r="AC98" s="36"/>
      <c r="AD98" s="18">
        <f t="shared" ref="AD98:AD111" si="19">SUM(E98:AC98)</f>
        <v>6000</v>
      </c>
      <c r="AE98" s="38" t="s">
        <v>146</v>
      </c>
      <c r="AF98" s="39" t="s">
        <v>152</v>
      </c>
      <c r="AG98" s="21" t="s">
        <v>67</v>
      </c>
      <c r="AH98" s="22">
        <v>45959.0</v>
      </c>
      <c r="AI98" s="21" t="s">
        <v>68</v>
      </c>
      <c r="AJ98" s="22">
        <v>45974.0</v>
      </c>
      <c r="AK98" s="23"/>
    </row>
    <row r="99" ht="28.5" customHeight="1">
      <c r="A99" s="24"/>
      <c r="B99" s="24"/>
      <c r="C99" s="74" t="s">
        <v>69</v>
      </c>
      <c r="D99" s="24"/>
      <c r="E99" s="35"/>
      <c r="F99" s="35"/>
      <c r="G99" s="37"/>
      <c r="H99" s="37"/>
      <c r="I99" s="36">
        <v>250.0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6"/>
      <c r="Z99" s="36"/>
      <c r="AA99" s="36"/>
      <c r="AB99" s="36"/>
      <c r="AC99" s="36"/>
      <c r="AD99" s="25">
        <f t="shared" si="19"/>
        <v>250</v>
      </c>
      <c r="AE99" s="8"/>
      <c r="AF99" s="8"/>
      <c r="AG99" s="21" t="s">
        <v>70</v>
      </c>
      <c r="AH99" s="22">
        <v>45982.0</v>
      </c>
      <c r="AI99" s="21" t="s">
        <v>71</v>
      </c>
      <c r="AJ99" s="22">
        <v>46007.0</v>
      </c>
      <c r="AK99" s="41" t="s">
        <v>86</v>
      </c>
    </row>
    <row r="100" ht="28.5" customHeight="1">
      <c r="A100" s="24"/>
      <c r="B100" s="24"/>
      <c r="C100" s="47" t="s">
        <v>78</v>
      </c>
      <c r="D100" s="24"/>
      <c r="E100" s="35"/>
      <c r="F100" s="35"/>
      <c r="G100" s="35"/>
      <c r="H100" s="37"/>
      <c r="I100" s="36">
        <v>250.0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6"/>
      <c r="Z100" s="36"/>
      <c r="AA100" s="36"/>
      <c r="AB100" s="36"/>
      <c r="AC100" s="36"/>
      <c r="AD100" s="28">
        <f t="shared" si="19"/>
        <v>250</v>
      </c>
      <c r="AE100" s="42"/>
      <c r="AF100" s="43"/>
      <c r="AG100" s="21"/>
      <c r="AH100" s="22"/>
      <c r="AI100" s="21"/>
      <c r="AJ100" s="22"/>
      <c r="AK100" s="23"/>
    </row>
    <row r="101" ht="28.5" customHeight="1">
      <c r="A101" s="8"/>
      <c r="B101" s="8"/>
      <c r="C101" s="47" t="s">
        <v>79</v>
      </c>
      <c r="D101" s="8"/>
      <c r="E101" s="35"/>
      <c r="F101" s="35"/>
      <c r="G101" s="35"/>
      <c r="H101" s="37"/>
      <c r="I101" s="36">
        <f>I99-I100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6"/>
      <c r="Z101" s="36"/>
      <c r="AA101" s="36"/>
      <c r="AB101" s="36"/>
      <c r="AC101" s="36"/>
      <c r="AD101" s="31">
        <f t="shared" si="19"/>
        <v>0</v>
      </c>
      <c r="AE101" s="42"/>
      <c r="AF101" s="43"/>
      <c r="AG101" s="21"/>
      <c r="AH101" s="22"/>
      <c r="AI101" s="21"/>
      <c r="AJ101" s="22"/>
      <c r="AK101" s="23"/>
    </row>
    <row r="102" ht="28.5" customHeight="1">
      <c r="A102" s="12">
        <v>19.0</v>
      </c>
      <c r="B102" s="13" t="s">
        <v>153</v>
      </c>
      <c r="C102" s="14" t="s">
        <v>63</v>
      </c>
      <c r="D102" s="13" t="s">
        <v>143</v>
      </c>
      <c r="E102" s="15"/>
      <c r="F102" s="15"/>
      <c r="G102" s="15"/>
      <c r="H102" s="16"/>
      <c r="I102" s="16"/>
      <c r="J102" s="16">
        <v>6000.0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6"/>
      <c r="Z102" s="16"/>
      <c r="AA102" s="16"/>
      <c r="AB102" s="16"/>
      <c r="AC102" s="16"/>
      <c r="AD102" s="18">
        <f t="shared" si="19"/>
        <v>6000</v>
      </c>
      <c r="AE102" s="19" t="s">
        <v>146</v>
      </c>
      <c r="AF102" s="20" t="s">
        <v>154</v>
      </c>
      <c r="AG102" s="21" t="s">
        <v>67</v>
      </c>
      <c r="AH102" s="22">
        <v>45953.0</v>
      </c>
      <c r="AI102" s="21" t="s">
        <v>68</v>
      </c>
      <c r="AJ102" s="22">
        <v>45979.0</v>
      </c>
      <c r="AK102" s="23"/>
    </row>
    <row r="103" ht="28.5" customHeight="1">
      <c r="A103" s="24"/>
      <c r="B103" s="24"/>
      <c r="C103" s="14" t="s">
        <v>69</v>
      </c>
      <c r="D103" s="24"/>
      <c r="E103" s="15"/>
      <c r="F103" s="15"/>
      <c r="G103" s="15"/>
      <c r="H103" s="16"/>
      <c r="I103" s="16"/>
      <c r="J103" s="17">
        <v>275.0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6"/>
      <c r="Z103" s="16"/>
      <c r="AA103" s="16"/>
      <c r="AB103" s="16"/>
      <c r="AC103" s="16"/>
      <c r="AD103" s="25">
        <f t="shared" si="19"/>
        <v>275</v>
      </c>
      <c r="AE103" s="8"/>
      <c r="AF103" s="8"/>
      <c r="AG103" s="21" t="s">
        <v>70</v>
      </c>
      <c r="AH103" s="22">
        <v>45982.0</v>
      </c>
      <c r="AI103" s="21" t="s">
        <v>71</v>
      </c>
      <c r="AJ103" s="22">
        <v>46007.0</v>
      </c>
      <c r="AK103" s="23" t="s">
        <v>115</v>
      </c>
    </row>
    <row r="104" ht="27.75" customHeight="1">
      <c r="A104" s="24"/>
      <c r="B104" s="24"/>
      <c r="C104" s="26" t="s">
        <v>73</v>
      </c>
      <c r="D104" s="24"/>
      <c r="E104" s="15"/>
      <c r="F104" s="15"/>
      <c r="G104" s="15"/>
      <c r="H104" s="16"/>
      <c r="I104" s="16"/>
      <c r="J104" s="17">
        <f>3000-J103</f>
        <v>2725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6"/>
      <c r="Z104" s="16"/>
      <c r="AA104" s="16"/>
      <c r="AB104" s="16"/>
      <c r="AC104" s="16"/>
      <c r="AD104" s="18">
        <f t="shared" si="19"/>
        <v>2725</v>
      </c>
      <c r="AE104" s="19"/>
      <c r="AF104" s="20"/>
      <c r="AG104" s="27" t="s">
        <v>95</v>
      </c>
      <c r="AH104" s="73">
        <v>46163.0</v>
      </c>
      <c r="AI104" s="21" t="s">
        <v>68</v>
      </c>
      <c r="AJ104" s="22" t="s">
        <v>108</v>
      </c>
      <c r="AK104" s="23"/>
    </row>
    <row r="105" ht="28.5" customHeight="1">
      <c r="A105" s="24"/>
      <c r="B105" s="24"/>
      <c r="C105" s="14" t="s">
        <v>76</v>
      </c>
      <c r="D105" s="24"/>
      <c r="E105" s="15"/>
      <c r="F105" s="15"/>
      <c r="G105" s="15"/>
      <c r="H105" s="16"/>
      <c r="I105" s="16"/>
      <c r="J105" s="17">
        <v>0.0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6"/>
      <c r="Z105" s="16"/>
      <c r="AA105" s="16"/>
      <c r="AB105" s="16"/>
      <c r="AC105" s="16"/>
      <c r="AD105" s="25">
        <f t="shared" si="19"/>
        <v>0</v>
      </c>
      <c r="AE105" s="8"/>
      <c r="AF105" s="8"/>
      <c r="AG105" s="27" t="s">
        <v>97</v>
      </c>
      <c r="AH105" s="22" t="s">
        <v>108</v>
      </c>
      <c r="AI105" s="21" t="s">
        <v>71</v>
      </c>
      <c r="AJ105" s="22" t="s">
        <v>108</v>
      </c>
      <c r="AK105" s="41"/>
    </row>
    <row r="106" ht="28.5" customHeight="1">
      <c r="A106" s="24"/>
      <c r="B106" s="24"/>
      <c r="C106" s="26" t="s">
        <v>78</v>
      </c>
      <c r="D106" s="24"/>
      <c r="E106" s="15"/>
      <c r="F106" s="15"/>
      <c r="G106" s="15"/>
      <c r="H106" s="16"/>
      <c r="I106" s="16"/>
      <c r="J106" s="16">
        <v>275.0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6"/>
      <c r="Z106" s="16"/>
      <c r="AA106" s="16"/>
      <c r="AB106" s="16"/>
      <c r="AC106" s="16"/>
      <c r="AD106" s="28">
        <f t="shared" si="19"/>
        <v>275</v>
      </c>
      <c r="AE106" s="29"/>
      <c r="AF106" s="30"/>
      <c r="AG106" s="27"/>
      <c r="AH106" s="22"/>
      <c r="AI106" s="27"/>
      <c r="AJ106" s="22"/>
      <c r="AK106" s="23"/>
    </row>
    <row r="107" ht="28.5" customHeight="1">
      <c r="A107" s="8"/>
      <c r="B107" s="8"/>
      <c r="C107" s="26" t="s">
        <v>79</v>
      </c>
      <c r="D107" s="8"/>
      <c r="E107" s="15"/>
      <c r="F107" s="15"/>
      <c r="G107" s="15"/>
      <c r="H107" s="16"/>
      <c r="I107" s="16"/>
      <c r="J107" s="17">
        <f>J103-J106</f>
        <v>0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6"/>
      <c r="Z107" s="16"/>
      <c r="AA107" s="16"/>
      <c r="AB107" s="16"/>
      <c r="AC107" s="16"/>
      <c r="AD107" s="31">
        <f t="shared" si="19"/>
        <v>0</v>
      </c>
      <c r="AE107" s="29"/>
      <c r="AF107" s="30"/>
      <c r="AG107" s="27"/>
      <c r="AH107" s="22"/>
      <c r="AI107" s="27"/>
      <c r="AJ107" s="22"/>
      <c r="AK107" s="23"/>
    </row>
    <row r="108" ht="28.5" customHeight="1">
      <c r="A108" s="32">
        <v>20.0</v>
      </c>
      <c r="B108" s="33" t="s">
        <v>155</v>
      </c>
      <c r="C108" s="74" t="s">
        <v>63</v>
      </c>
      <c r="D108" s="33" t="s">
        <v>143</v>
      </c>
      <c r="E108" s="35"/>
      <c r="F108" s="35"/>
      <c r="G108" s="35"/>
      <c r="H108" s="36"/>
      <c r="I108" s="36">
        <v>6000.0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6"/>
      <c r="Z108" s="36"/>
      <c r="AA108" s="36"/>
      <c r="AB108" s="36"/>
      <c r="AC108" s="36"/>
      <c r="AD108" s="18">
        <f t="shared" si="19"/>
        <v>6000</v>
      </c>
      <c r="AE108" s="38" t="s">
        <v>149</v>
      </c>
      <c r="AF108" s="39" t="s">
        <v>156</v>
      </c>
      <c r="AG108" s="21" t="s">
        <v>67</v>
      </c>
      <c r="AH108" s="22">
        <v>45953.0</v>
      </c>
      <c r="AI108" s="21" t="s">
        <v>68</v>
      </c>
      <c r="AJ108" s="22">
        <v>45979.0</v>
      </c>
      <c r="AK108" s="23"/>
    </row>
    <row r="109" ht="28.5" customHeight="1">
      <c r="A109" s="24"/>
      <c r="B109" s="24"/>
      <c r="C109" s="74" t="s">
        <v>69</v>
      </c>
      <c r="D109" s="24"/>
      <c r="E109" s="35"/>
      <c r="F109" s="35"/>
      <c r="G109" s="35"/>
      <c r="H109" s="36"/>
      <c r="I109" s="36">
        <v>80.0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6"/>
      <c r="Z109" s="36"/>
      <c r="AA109" s="36"/>
      <c r="AB109" s="36"/>
      <c r="AC109" s="36"/>
      <c r="AD109" s="25">
        <f t="shared" si="19"/>
        <v>80</v>
      </c>
      <c r="AE109" s="8"/>
      <c r="AF109" s="8"/>
      <c r="AG109" s="21" t="s">
        <v>70</v>
      </c>
      <c r="AH109" s="22">
        <v>46000.0</v>
      </c>
      <c r="AI109" s="21" t="s">
        <v>71</v>
      </c>
      <c r="AJ109" s="22">
        <v>46027.0</v>
      </c>
      <c r="AK109" s="41" t="s">
        <v>86</v>
      </c>
    </row>
    <row r="110" ht="28.5" customHeight="1">
      <c r="A110" s="24"/>
      <c r="B110" s="24"/>
      <c r="C110" s="47" t="s">
        <v>78</v>
      </c>
      <c r="D110" s="24"/>
      <c r="E110" s="35"/>
      <c r="F110" s="35"/>
      <c r="G110" s="35"/>
      <c r="H110" s="36"/>
      <c r="I110" s="36">
        <v>80.0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6"/>
      <c r="Z110" s="36"/>
      <c r="AA110" s="36"/>
      <c r="AB110" s="36"/>
      <c r="AC110" s="36"/>
      <c r="AD110" s="28">
        <f t="shared" si="19"/>
        <v>80</v>
      </c>
      <c r="AE110" s="42"/>
      <c r="AF110" s="43"/>
      <c r="AG110" s="21"/>
      <c r="AH110" s="22"/>
      <c r="AI110" s="21"/>
      <c r="AJ110" s="22"/>
      <c r="AK110" s="23"/>
    </row>
    <row r="111" ht="28.5" customHeight="1">
      <c r="A111" s="8"/>
      <c r="B111" s="8"/>
      <c r="C111" s="47" t="s">
        <v>79</v>
      </c>
      <c r="D111" s="8"/>
      <c r="E111" s="35"/>
      <c r="F111" s="35"/>
      <c r="G111" s="35"/>
      <c r="H111" s="36"/>
      <c r="I111" s="36">
        <f>I109-I110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6"/>
      <c r="Z111" s="36"/>
      <c r="AA111" s="36"/>
      <c r="AB111" s="36"/>
      <c r="AC111" s="36"/>
      <c r="AD111" s="31">
        <f t="shared" si="19"/>
        <v>0</v>
      </c>
      <c r="AE111" s="42"/>
      <c r="AF111" s="43"/>
      <c r="AG111" s="21"/>
      <c r="AH111" s="22"/>
      <c r="AI111" s="21"/>
      <c r="AJ111" s="22"/>
      <c r="AK111" s="23"/>
    </row>
    <row r="112" ht="28.5" customHeight="1">
      <c r="A112" s="32">
        <v>21.0</v>
      </c>
      <c r="B112" s="33" t="s">
        <v>157</v>
      </c>
      <c r="C112" s="74" t="s">
        <v>63</v>
      </c>
      <c r="D112" s="33" t="s">
        <v>64</v>
      </c>
      <c r="E112" s="35"/>
      <c r="F112" s="35"/>
      <c r="G112" s="35"/>
      <c r="H112" s="36"/>
      <c r="I112" s="36">
        <v>6000.0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6"/>
      <c r="Z112" s="36"/>
      <c r="AA112" s="36"/>
      <c r="AB112" s="36"/>
      <c r="AC112" s="36"/>
      <c r="AD112" s="18">
        <f t="shared" ref="AD112:AD113" si="20">SUM(E112:Y112)</f>
        <v>6000</v>
      </c>
      <c r="AE112" s="38" t="s">
        <v>146</v>
      </c>
      <c r="AF112" s="39" t="s">
        <v>152</v>
      </c>
      <c r="AG112" s="21" t="s">
        <v>67</v>
      </c>
      <c r="AH112" s="22">
        <v>45946.0</v>
      </c>
      <c r="AI112" s="21" t="s">
        <v>68</v>
      </c>
      <c r="AJ112" s="22">
        <v>45979.0</v>
      </c>
      <c r="AK112" s="23"/>
    </row>
    <row r="113" ht="28.5" customHeight="1">
      <c r="A113" s="24"/>
      <c r="B113" s="24"/>
      <c r="C113" s="74" t="s">
        <v>69</v>
      </c>
      <c r="D113" s="24"/>
      <c r="E113" s="35"/>
      <c r="F113" s="35"/>
      <c r="G113" s="35"/>
      <c r="H113" s="36"/>
      <c r="I113" s="36">
        <v>500.0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6"/>
      <c r="Z113" s="36"/>
      <c r="AA113" s="36"/>
      <c r="AB113" s="36"/>
      <c r="AC113" s="36"/>
      <c r="AD113" s="25">
        <f t="shared" si="20"/>
        <v>500</v>
      </c>
      <c r="AE113" s="8"/>
      <c r="AF113" s="8"/>
      <c r="AG113" s="21" t="s">
        <v>70</v>
      </c>
      <c r="AH113" s="22">
        <v>45982.0</v>
      </c>
      <c r="AI113" s="21" t="s">
        <v>71</v>
      </c>
      <c r="AJ113" s="22">
        <v>46007.0</v>
      </c>
      <c r="AK113" s="41" t="s">
        <v>115</v>
      </c>
    </row>
    <row r="114" ht="28.5" customHeight="1">
      <c r="A114" s="24"/>
      <c r="B114" s="24"/>
      <c r="C114" s="47" t="s">
        <v>78</v>
      </c>
      <c r="D114" s="24"/>
      <c r="E114" s="35"/>
      <c r="F114" s="35"/>
      <c r="G114" s="35"/>
      <c r="H114" s="36"/>
      <c r="I114" s="36">
        <v>500.0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6"/>
      <c r="Z114" s="36"/>
      <c r="AA114" s="36"/>
      <c r="AB114" s="36"/>
      <c r="AC114" s="36"/>
      <c r="AD114" s="28">
        <f t="shared" ref="AD114:AD115" si="21">SUM(E114:AC114)</f>
        <v>500</v>
      </c>
      <c r="AE114" s="42"/>
      <c r="AF114" s="43"/>
      <c r="AG114" s="21"/>
      <c r="AH114" s="22"/>
      <c r="AI114" s="21"/>
      <c r="AJ114" s="22"/>
      <c r="AK114" s="23"/>
    </row>
    <row r="115" ht="28.5" customHeight="1">
      <c r="A115" s="8"/>
      <c r="B115" s="8"/>
      <c r="C115" s="47" t="s">
        <v>79</v>
      </c>
      <c r="D115" s="8"/>
      <c r="E115" s="35"/>
      <c r="F115" s="35"/>
      <c r="G115" s="35"/>
      <c r="H115" s="36"/>
      <c r="I115" s="36">
        <f>I113-I114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6"/>
      <c r="Z115" s="36"/>
      <c r="AA115" s="36"/>
      <c r="AB115" s="36"/>
      <c r="AC115" s="36"/>
      <c r="AD115" s="31">
        <f t="shared" si="21"/>
        <v>0</v>
      </c>
      <c r="AE115" s="42"/>
      <c r="AF115" s="43"/>
      <c r="AG115" s="21"/>
      <c r="AH115" s="22"/>
      <c r="AI115" s="21"/>
      <c r="AJ115" s="22"/>
      <c r="AK115" s="23"/>
    </row>
    <row r="116" ht="28.5" customHeight="1">
      <c r="A116" s="32">
        <v>22.0</v>
      </c>
      <c r="B116" s="33" t="s">
        <v>158</v>
      </c>
      <c r="C116" s="74" t="s">
        <v>63</v>
      </c>
      <c r="D116" s="33" t="s">
        <v>143</v>
      </c>
      <c r="E116" s="35"/>
      <c r="F116" s="35"/>
      <c r="G116" s="35"/>
      <c r="H116" s="36">
        <v>6000.0</v>
      </c>
      <c r="I116" s="36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6"/>
      <c r="X116" s="36"/>
      <c r="Y116" s="36"/>
      <c r="Z116" s="36"/>
      <c r="AA116" s="36"/>
      <c r="AB116" s="36"/>
      <c r="AC116" s="36"/>
      <c r="AD116" s="18">
        <f t="shared" ref="AD116:AD118" si="22">SUM(E116:Y116)</f>
        <v>6000</v>
      </c>
      <c r="AE116" s="38" t="s">
        <v>159</v>
      </c>
      <c r="AF116" s="39" t="s">
        <v>160</v>
      </c>
      <c r="AG116" s="21" t="s">
        <v>67</v>
      </c>
      <c r="AH116" s="22">
        <v>45966.0</v>
      </c>
      <c r="AI116" s="21" t="s">
        <v>68</v>
      </c>
      <c r="AJ116" s="22">
        <v>45994.0</v>
      </c>
      <c r="AK116" s="23"/>
    </row>
    <row r="117" ht="28.5" customHeight="1">
      <c r="A117" s="24"/>
      <c r="B117" s="24"/>
      <c r="C117" s="74" t="s">
        <v>69</v>
      </c>
      <c r="D117" s="24"/>
      <c r="E117" s="35"/>
      <c r="F117" s="35"/>
      <c r="G117" s="35"/>
      <c r="H117" s="36">
        <v>100.0</v>
      </c>
      <c r="I117" s="36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6"/>
      <c r="X117" s="36"/>
      <c r="Y117" s="36"/>
      <c r="Z117" s="36"/>
      <c r="AA117" s="36"/>
      <c r="AB117" s="36"/>
      <c r="AC117" s="36"/>
      <c r="AD117" s="25">
        <f t="shared" si="22"/>
        <v>100</v>
      </c>
      <c r="AE117" s="8"/>
      <c r="AF117" s="8"/>
      <c r="AG117" s="21" t="s">
        <v>70</v>
      </c>
      <c r="AH117" s="22">
        <v>46116.0</v>
      </c>
      <c r="AI117" s="21" t="s">
        <v>71</v>
      </c>
      <c r="AJ117" s="22" t="s">
        <v>108</v>
      </c>
      <c r="AK117" s="23" t="s">
        <v>161</v>
      </c>
    </row>
    <row r="118" ht="28.5" customHeight="1">
      <c r="A118" s="24"/>
      <c r="B118" s="24"/>
      <c r="C118" s="47" t="s">
        <v>78</v>
      </c>
      <c r="D118" s="24"/>
      <c r="E118" s="35"/>
      <c r="F118" s="35"/>
      <c r="G118" s="35"/>
      <c r="H118" s="36">
        <v>0.0</v>
      </c>
      <c r="I118" s="36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6"/>
      <c r="X118" s="36"/>
      <c r="Y118" s="36"/>
      <c r="Z118" s="36"/>
      <c r="AA118" s="36"/>
      <c r="AB118" s="36"/>
      <c r="AC118" s="36"/>
      <c r="AD118" s="28">
        <f t="shared" si="22"/>
        <v>0</v>
      </c>
      <c r="AE118" s="42"/>
      <c r="AF118" s="43"/>
      <c r="AG118" s="21"/>
      <c r="AH118" s="22"/>
      <c r="AI118" s="21"/>
      <c r="AJ118" s="22"/>
      <c r="AK118" s="23"/>
    </row>
    <row r="119" ht="28.5" customHeight="1">
      <c r="A119" s="8"/>
      <c r="B119" s="8"/>
      <c r="C119" s="47" t="s">
        <v>79</v>
      </c>
      <c r="D119" s="8"/>
      <c r="E119" s="35"/>
      <c r="F119" s="35"/>
      <c r="G119" s="35"/>
      <c r="H119" s="36">
        <f>H117-H118</f>
        <v>100</v>
      </c>
      <c r="I119" s="36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6"/>
      <c r="X119" s="36"/>
      <c r="Y119" s="36"/>
      <c r="Z119" s="36"/>
      <c r="AA119" s="36"/>
      <c r="AB119" s="36"/>
      <c r="AC119" s="36"/>
      <c r="AD119" s="31">
        <f>SUM(E119:AC119)</f>
        <v>100</v>
      </c>
      <c r="AE119" s="42"/>
      <c r="AF119" s="43"/>
      <c r="AG119" s="21"/>
      <c r="AH119" s="22"/>
      <c r="AI119" s="21"/>
      <c r="AJ119" s="22"/>
      <c r="AK119" s="23"/>
    </row>
    <row r="120" ht="28.5" customHeight="1">
      <c r="A120" s="75">
        <v>23.0</v>
      </c>
      <c r="B120" s="76" t="s">
        <v>162</v>
      </c>
      <c r="C120" s="77" t="s">
        <v>63</v>
      </c>
      <c r="D120" s="76" t="s">
        <v>64</v>
      </c>
      <c r="E120" s="78"/>
      <c r="F120" s="78"/>
      <c r="G120" s="78"/>
      <c r="H120" s="79">
        <v>6000.0</v>
      </c>
      <c r="I120" s="79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79"/>
      <c r="Z120" s="79"/>
      <c r="AA120" s="79"/>
      <c r="AB120" s="79"/>
      <c r="AC120" s="36"/>
      <c r="AD120" s="18">
        <f t="shared" ref="AD120:AD121" si="23">SUM(E120:Y120)</f>
        <v>6000</v>
      </c>
      <c r="AE120" s="38" t="s">
        <v>149</v>
      </c>
      <c r="AF120" s="39" t="s">
        <v>156</v>
      </c>
      <c r="AG120" s="21" t="s">
        <v>67</v>
      </c>
      <c r="AH120" s="22">
        <v>45978.0</v>
      </c>
      <c r="AI120" s="21" t="s">
        <v>68</v>
      </c>
      <c r="AJ120" s="22">
        <v>45994.0</v>
      </c>
      <c r="AK120" s="23"/>
    </row>
    <row r="121" ht="28.5" customHeight="1">
      <c r="A121" s="24"/>
      <c r="B121" s="24"/>
      <c r="C121" s="77" t="s">
        <v>69</v>
      </c>
      <c r="D121" s="24"/>
      <c r="E121" s="78"/>
      <c r="F121" s="78"/>
      <c r="G121" s="78"/>
      <c r="H121" s="79">
        <v>200.0</v>
      </c>
      <c r="I121" s="79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79"/>
      <c r="Z121" s="79"/>
      <c r="AA121" s="79"/>
      <c r="AB121" s="79"/>
      <c r="AC121" s="36"/>
      <c r="AD121" s="25">
        <f t="shared" si="23"/>
        <v>200</v>
      </c>
      <c r="AE121" s="8"/>
      <c r="AF121" s="8"/>
      <c r="AG121" s="21" t="s">
        <v>70</v>
      </c>
      <c r="AH121" s="22">
        <v>46000.0</v>
      </c>
      <c r="AI121" s="21" t="s">
        <v>71</v>
      </c>
      <c r="AJ121" s="22">
        <v>46027.0</v>
      </c>
      <c r="AK121" s="23"/>
    </row>
    <row r="122" ht="28.5" customHeight="1">
      <c r="A122" s="24"/>
      <c r="B122" s="24"/>
      <c r="C122" s="81" t="s">
        <v>104</v>
      </c>
      <c r="D122" s="24"/>
      <c r="E122" s="78"/>
      <c r="F122" s="78"/>
      <c r="G122" s="78"/>
      <c r="H122" s="79">
        <v>-200.0</v>
      </c>
      <c r="I122" s="79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79"/>
      <c r="Z122" s="79">
        <v>200.0</v>
      </c>
      <c r="AA122" s="79"/>
      <c r="AB122" s="79"/>
      <c r="AC122" s="36"/>
      <c r="AD122" s="82">
        <f t="shared" ref="AD122:AD123" si="24">SUM(E122:AC122)</f>
        <v>0</v>
      </c>
      <c r="AE122" s="83" t="s">
        <v>163</v>
      </c>
      <c r="AF122" s="83" t="s">
        <v>164</v>
      </c>
      <c r="AG122" s="27" t="s">
        <v>131</v>
      </c>
      <c r="AH122" s="22">
        <v>46034.0</v>
      </c>
      <c r="AI122" s="27" t="s">
        <v>132</v>
      </c>
      <c r="AJ122" s="22">
        <v>46057.0</v>
      </c>
      <c r="AK122" s="27" t="s">
        <v>165</v>
      </c>
    </row>
    <row r="123" ht="28.5" customHeight="1">
      <c r="A123" s="24"/>
      <c r="B123" s="24"/>
      <c r="C123" s="81" t="s">
        <v>166</v>
      </c>
      <c r="D123" s="24"/>
      <c r="E123" s="78"/>
      <c r="F123" s="78"/>
      <c r="G123" s="78">
        <v>200.0</v>
      </c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79"/>
      <c r="Z123" s="79">
        <v>-200.0</v>
      </c>
      <c r="AA123" s="79"/>
      <c r="AB123" s="79"/>
      <c r="AC123" s="36"/>
      <c r="AD123" s="82">
        <f t="shared" si="24"/>
        <v>0</v>
      </c>
      <c r="AE123" s="42"/>
      <c r="AF123" s="42"/>
      <c r="AG123" s="27" t="s">
        <v>167</v>
      </c>
      <c r="AH123" s="22">
        <v>46153.0</v>
      </c>
      <c r="AI123" s="27" t="s">
        <v>168</v>
      </c>
      <c r="AJ123" s="22" t="s">
        <v>108</v>
      </c>
      <c r="AK123" s="23"/>
    </row>
    <row r="124" ht="28.5" customHeight="1">
      <c r="A124" s="24"/>
      <c r="B124" s="24"/>
      <c r="C124" s="84" t="s">
        <v>78</v>
      </c>
      <c r="D124" s="24"/>
      <c r="E124" s="78"/>
      <c r="F124" s="78"/>
      <c r="G124" s="78"/>
      <c r="H124" s="79">
        <v>0.0</v>
      </c>
      <c r="I124" s="79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79"/>
      <c r="Z124" s="79"/>
      <c r="AA124" s="79"/>
      <c r="AB124" s="79"/>
      <c r="AC124" s="36"/>
      <c r="AD124" s="28">
        <f>SUM(E124:Y124)</f>
        <v>0</v>
      </c>
      <c r="AE124" s="42"/>
      <c r="AF124" s="42"/>
      <c r="AG124" s="27" t="s">
        <v>169</v>
      </c>
      <c r="AH124" s="22" t="s">
        <v>108</v>
      </c>
      <c r="AI124" s="27" t="s">
        <v>170</v>
      </c>
      <c r="AJ124" s="22" t="s">
        <v>108</v>
      </c>
      <c r="AK124" s="23"/>
    </row>
    <row r="125" ht="28.5" customHeight="1">
      <c r="A125" s="8"/>
      <c r="B125" s="8"/>
      <c r="C125" s="84" t="s">
        <v>79</v>
      </c>
      <c r="D125" s="8"/>
      <c r="E125" s="78"/>
      <c r="F125" s="78"/>
      <c r="G125" s="78"/>
      <c r="H125" s="79"/>
      <c r="I125" s="79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79"/>
      <c r="Z125" s="79">
        <f>SUM(Z122,Z121)-Z124</f>
        <v>200</v>
      </c>
      <c r="AA125" s="79"/>
      <c r="AB125" s="79"/>
      <c r="AC125" s="36"/>
      <c r="AD125" s="31">
        <f>AD121-AD124</f>
        <v>200</v>
      </c>
      <c r="AE125" s="42"/>
      <c r="AF125" s="42"/>
      <c r="AG125" s="27"/>
      <c r="AH125" s="22"/>
      <c r="AI125" s="27"/>
      <c r="AJ125" s="22"/>
      <c r="AK125" s="23"/>
    </row>
    <row r="126" ht="28.5" customHeight="1">
      <c r="A126" s="12">
        <v>24.0</v>
      </c>
      <c r="B126" s="13" t="s">
        <v>171</v>
      </c>
      <c r="C126" s="14" t="s">
        <v>63</v>
      </c>
      <c r="D126" s="13" t="s">
        <v>143</v>
      </c>
      <c r="E126" s="15"/>
      <c r="F126" s="15"/>
      <c r="G126" s="15"/>
      <c r="H126" s="16"/>
      <c r="I126" s="16"/>
      <c r="J126" s="16">
        <v>6000.0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6"/>
      <c r="Z126" s="16"/>
      <c r="AA126" s="16"/>
      <c r="AB126" s="16"/>
      <c r="AC126" s="16"/>
      <c r="AD126" s="18">
        <f t="shared" ref="AD126:AD130" si="25">SUM(E126:Y126)</f>
        <v>6000</v>
      </c>
      <c r="AE126" s="19" t="s">
        <v>172</v>
      </c>
      <c r="AF126" s="20" t="s">
        <v>173</v>
      </c>
      <c r="AG126" s="21" t="s">
        <v>67</v>
      </c>
      <c r="AH126" s="22">
        <v>45978.0</v>
      </c>
      <c r="AI126" s="21" t="s">
        <v>68</v>
      </c>
      <c r="AJ126" s="22">
        <v>46003.0</v>
      </c>
      <c r="AK126" s="23"/>
    </row>
    <row r="127" ht="28.5" customHeight="1">
      <c r="A127" s="24"/>
      <c r="B127" s="24"/>
      <c r="C127" s="14" t="s">
        <v>69</v>
      </c>
      <c r="D127" s="24"/>
      <c r="E127" s="15"/>
      <c r="F127" s="15"/>
      <c r="G127" s="15"/>
      <c r="H127" s="16"/>
      <c r="I127" s="16"/>
      <c r="J127" s="17">
        <v>300.0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6"/>
      <c r="Z127" s="16"/>
      <c r="AA127" s="16"/>
      <c r="AB127" s="16"/>
      <c r="AC127" s="16"/>
      <c r="AD127" s="25">
        <f t="shared" si="25"/>
        <v>300</v>
      </c>
      <c r="AE127" s="8"/>
      <c r="AF127" s="8"/>
      <c r="AG127" s="21" t="s">
        <v>70</v>
      </c>
      <c r="AH127" s="22">
        <v>46003.0</v>
      </c>
      <c r="AI127" s="21" t="s">
        <v>71</v>
      </c>
      <c r="AJ127" s="22">
        <v>46028.0</v>
      </c>
      <c r="AK127" s="23"/>
    </row>
    <row r="128" ht="27.75" customHeight="1">
      <c r="A128" s="24"/>
      <c r="B128" s="24"/>
      <c r="C128" s="26" t="s">
        <v>73</v>
      </c>
      <c r="D128" s="24"/>
      <c r="E128" s="15"/>
      <c r="F128" s="15"/>
      <c r="G128" s="15"/>
      <c r="H128" s="16"/>
      <c r="I128" s="16"/>
      <c r="J128" s="17">
        <v>2700.0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6"/>
      <c r="Z128" s="16"/>
      <c r="AA128" s="16"/>
      <c r="AB128" s="16"/>
      <c r="AC128" s="16"/>
      <c r="AD128" s="18">
        <f t="shared" si="25"/>
        <v>2700</v>
      </c>
      <c r="AE128" s="19"/>
      <c r="AF128" s="20"/>
      <c r="AG128" s="27" t="s">
        <v>131</v>
      </c>
      <c r="AH128" s="22">
        <v>46141.0</v>
      </c>
      <c r="AI128" s="27" t="s">
        <v>132</v>
      </c>
      <c r="AJ128" s="22" t="s">
        <v>108</v>
      </c>
      <c r="AK128" s="85" t="s">
        <v>174</v>
      </c>
    </row>
    <row r="129" ht="28.5" customHeight="1">
      <c r="A129" s="24"/>
      <c r="B129" s="24"/>
      <c r="C129" s="14" t="s">
        <v>76</v>
      </c>
      <c r="D129" s="24"/>
      <c r="E129" s="15"/>
      <c r="F129" s="15"/>
      <c r="G129" s="15"/>
      <c r="H129" s="16"/>
      <c r="I129" s="16"/>
      <c r="J129" s="17" t="s">
        <v>108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6"/>
      <c r="Z129" s="16"/>
      <c r="AA129" s="16"/>
      <c r="AB129" s="16"/>
      <c r="AC129" s="16"/>
      <c r="AD129" s="25">
        <f t="shared" si="25"/>
        <v>0</v>
      </c>
      <c r="AE129" s="8"/>
      <c r="AF129" s="8"/>
      <c r="AG129" s="27" t="s">
        <v>133</v>
      </c>
      <c r="AH129" s="22" t="s">
        <v>108</v>
      </c>
      <c r="AI129" s="27" t="s">
        <v>134</v>
      </c>
      <c r="AJ129" s="22" t="s">
        <v>108</v>
      </c>
      <c r="AK129" s="23"/>
    </row>
    <row r="130" ht="28.5" customHeight="1">
      <c r="A130" s="24"/>
      <c r="B130" s="24"/>
      <c r="C130" s="26" t="s">
        <v>78</v>
      </c>
      <c r="D130" s="24"/>
      <c r="E130" s="15"/>
      <c r="F130" s="15"/>
      <c r="G130" s="15"/>
      <c r="H130" s="16"/>
      <c r="I130" s="16"/>
      <c r="J130" s="16">
        <v>300.0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6"/>
      <c r="Z130" s="16"/>
      <c r="AA130" s="16"/>
      <c r="AB130" s="16"/>
      <c r="AC130" s="16"/>
      <c r="AD130" s="28">
        <f t="shared" si="25"/>
        <v>300</v>
      </c>
      <c r="AE130" s="29"/>
      <c r="AF130" s="30"/>
      <c r="AG130" s="27"/>
      <c r="AH130" s="22"/>
      <c r="AI130" s="27"/>
      <c r="AJ130" s="22"/>
      <c r="AK130" s="23"/>
    </row>
    <row r="131" ht="28.5" customHeight="1">
      <c r="A131" s="8"/>
      <c r="B131" s="8"/>
      <c r="C131" s="26" t="s">
        <v>79</v>
      </c>
      <c r="D131" s="8"/>
      <c r="E131" s="15"/>
      <c r="F131" s="15"/>
      <c r="G131" s="15"/>
      <c r="H131" s="16"/>
      <c r="I131" s="16"/>
      <c r="J131" s="17">
        <f>J127-J130</f>
        <v>0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6"/>
      <c r="Z131" s="16"/>
      <c r="AA131" s="16"/>
      <c r="AB131" s="16"/>
      <c r="AC131" s="16"/>
      <c r="AD131" s="31">
        <f>AD127-AD130</f>
        <v>0</v>
      </c>
      <c r="AE131" s="29"/>
      <c r="AF131" s="30"/>
      <c r="AG131" s="27"/>
      <c r="AH131" s="22"/>
      <c r="AI131" s="27"/>
      <c r="AJ131" s="22"/>
      <c r="AK131" s="23"/>
    </row>
    <row r="132" ht="28.5" customHeight="1">
      <c r="A132" s="66">
        <v>25.0</v>
      </c>
      <c r="B132" s="67" t="s">
        <v>175</v>
      </c>
      <c r="C132" s="63" t="s">
        <v>63</v>
      </c>
      <c r="D132" s="67" t="s">
        <v>143</v>
      </c>
      <c r="E132" s="52"/>
      <c r="F132" s="52"/>
      <c r="G132" s="52"/>
      <c r="H132" s="52">
        <v>6000.0</v>
      </c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86">
        <f t="shared" ref="AD132:AD133" si="26">SUM(E132:AC132)</f>
        <v>6000</v>
      </c>
      <c r="AE132" s="55" t="s">
        <v>176</v>
      </c>
      <c r="AF132" s="56" t="s">
        <v>177</v>
      </c>
      <c r="AG132" s="21" t="s">
        <v>67</v>
      </c>
      <c r="AH132" s="22">
        <v>45974.0</v>
      </c>
      <c r="AI132" s="21" t="s">
        <v>68</v>
      </c>
      <c r="AJ132" s="22">
        <v>46013.0</v>
      </c>
      <c r="AK132" s="23"/>
    </row>
    <row r="133" ht="28.5" customHeight="1">
      <c r="A133" s="24"/>
      <c r="B133" s="24"/>
      <c r="C133" s="63" t="s">
        <v>69</v>
      </c>
      <c r="D133" s="24"/>
      <c r="E133" s="52"/>
      <c r="F133" s="52"/>
      <c r="G133" s="52"/>
      <c r="H133" s="52">
        <v>1000.0</v>
      </c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87">
        <f t="shared" si="26"/>
        <v>1000</v>
      </c>
      <c r="AE133" s="8"/>
      <c r="AF133" s="8"/>
      <c r="AG133" s="21" t="s">
        <v>70</v>
      </c>
      <c r="AH133" s="22">
        <v>46014.0</v>
      </c>
      <c r="AI133" s="21" t="s">
        <v>71</v>
      </c>
      <c r="AJ133" s="22">
        <v>46035.0</v>
      </c>
      <c r="AK133" s="23"/>
    </row>
    <row r="134" ht="28.5" customHeight="1">
      <c r="A134" s="24"/>
      <c r="B134" s="24"/>
      <c r="C134" s="63" t="s">
        <v>104</v>
      </c>
      <c r="D134" s="24"/>
      <c r="E134" s="52"/>
      <c r="F134" s="52"/>
      <c r="G134" s="52"/>
      <c r="H134" s="52">
        <v>-650.0</v>
      </c>
      <c r="I134" s="52"/>
      <c r="J134" s="52">
        <v>650.0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68" t="s">
        <v>178</v>
      </c>
      <c r="AF134" s="88" t="s">
        <v>179</v>
      </c>
      <c r="AG134" s="27" t="s">
        <v>131</v>
      </c>
      <c r="AH134" s="22">
        <v>46360.0</v>
      </c>
      <c r="AI134" s="27" t="s">
        <v>132</v>
      </c>
      <c r="AJ134" s="22">
        <v>46100.0</v>
      </c>
      <c r="AK134" s="23"/>
    </row>
    <row r="135" ht="28.5" customHeight="1">
      <c r="A135" s="24"/>
      <c r="B135" s="24"/>
      <c r="C135" s="63" t="s">
        <v>166</v>
      </c>
      <c r="D135" s="24"/>
      <c r="E135" s="52"/>
      <c r="F135" s="52"/>
      <c r="G135" s="52"/>
      <c r="H135" s="52">
        <v>-350.0</v>
      </c>
      <c r="I135" s="52">
        <v>350.0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61"/>
      <c r="AF135" s="89"/>
      <c r="AG135" s="27" t="s">
        <v>133</v>
      </c>
      <c r="AH135" s="22">
        <v>46116.0</v>
      </c>
      <c r="AI135" s="27" t="s">
        <v>134</v>
      </c>
      <c r="AJ135" s="22">
        <v>46133.0</v>
      </c>
      <c r="AK135" s="41"/>
    </row>
    <row r="136" ht="28.5" customHeight="1">
      <c r="A136" s="24"/>
      <c r="B136" s="24"/>
      <c r="C136" s="63" t="s">
        <v>78</v>
      </c>
      <c r="D136" s="24"/>
      <c r="E136" s="52"/>
      <c r="F136" s="52"/>
      <c r="G136" s="52"/>
      <c r="H136" s="52"/>
      <c r="I136" s="52"/>
      <c r="J136" s="52">
        <v>650.0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90">
        <f>SUM(E136:AC136)</f>
        <v>650</v>
      </c>
      <c r="AE136" s="61"/>
      <c r="AF136" s="61"/>
      <c r="AG136" s="27" t="s">
        <v>167</v>
      </c>
      <c r="AH136" s="22">
        <v>46134.0</v>
      </c>
      <c r="AI136" s="27" t="s">
        <v>168</v>
      </c>
      <c r="AJ136" s="22" t="s">
        <v>108</v>
      </c>
      <c r="AK136" s="23"/>
    </row>
    <row r="137" ht="28.5" customHeight="1">
      <c r="A137" s="8"/>
      <c r="B137" s="8"/>
      <c r="C137" s="63" t="s">
        <v>79</v>
      </c>
      <c r="D137" s="8"/>
      <c r="E137" s="52"/>
      <c r="F137" s="52"/>
      <c r="G137" s="52"/>
      <c r="H137" s="52">
        <f>H133+H134</f>
        <v>350</v>
      </c>
      <c r="I137" s="91">
        <v>0.0</v>
      </c>
      <c r="J137" s="52">
        <f>SUM(J133:J134,J135)-J136</f>
        <v>0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92">
        <f>AD133-AD136</f>
        <v>350</v>
      </c>
      <c r="AE137" s="61"/>
      <c r="AF137" s="61"/>
      <c r="AG137" s="27" t="s">
        <v>169</v>
      </c>
      <c r="AH137" s="22" t="s">
        <v>108</v>
      </c>
      <c r="AI137" s="27" t="s">
        <v>180</v>
      </c>
      <c r="AJ137" s="22" t="s">
        <v>108</v>
      </c>
      <c r="AK137" s="41" t="s">
        <v>86</v>
      </c>
    </row>
    <row r="138" ht="28.5" customHeight="1">
      <c r="A138" s="12">
        <v>26.0</v>
      </c>
      <c r="B138" s="13" t="s">
        <v>181</v>
      </c>
      <c r="C138" s="14" t="s">
        <v>63</v>
      </c>
      <c r="D138" s="13" t="s">
        <v>143</v>
      </c>
      <c r="E138" s="15"/>
      <c r="F138" s="15"/>
      <c r="G138" s="15"/>
      <c r="H138" s="16"/>
      <c r="I138" s="16"/>
      <c r="J138" s="16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>
        <v>6000.0</v>
      </c>
      <c r="X138" s="17"/>
      <c r="Y138" s="16"/>
      <c r="Z138" s="16"/>
      <c r="AA138" s="16"/>
      <c r="AB138" s="16"/>
      <c r="AC138" s="16"/>
      <c r="AD138" s="18">
        <f t="shared" ref="AD138:AD142" si="27">SUM(E138:AC138)</f>
        <v>6000</v>
      </c>
      <c r="AE138" s="19" t="s">
        <v>182</v>
      </c>
      <c r="AF138" s="20" t="s">
        <v>183</v>
      </c>
      <c r="AG138" s="21" t="s">
        <v>67</v>
      </c>
      <c r="AH138" s="22">
        <v>45975.0</v>
      </c>
      <c r="AI138" s="21" t="s">
        <v>68</v>
      </c>
      <c r="AJ138" s="22">
        <v>46041.0</v>
      </c>
      <c r="AK138" s="23"/>
    </row>
    <row r="139" ht="28.5" customHeight="1">
      <c r="A139" s="24"/>
      <c r="B139" s="24"/>
      <c r="C139" s="14" t="s">
        <v>69</v>
      </c>
      <c r="D139" s="24"/>
      <c r="E139" s="15"/>
      <c r="F139" s="15"/>
      <c r="G139" s="15"/>
      <c r="H139" s="16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>
        <v>2000.0</v>
      </c>
      <c r="X139" s="17"/>
      <c r="Y139" s="16"/>
      <c r="Z139" s="16"/>
      <c r="AA139" s="16"/>
      <c r="AB139" s="16"/>
      <c r="AC139" s="16"/>
      <c r="AD139" s="25">
        <f t="shared" si="27"/>
        <v>2000</v>
      </c>
      <c r="AE139" s="8"/>
      <c r="AF139" s="8"/>
      <c r="AG139" s="21" t="s">
        <v>70</v>
      </c>
      <c r="AH139" s="22">
        <v>46042.0</v>
      </c>
      <c r="AI139" s="21" t="s">
        <v>71</v>
      </c>
      <c r="AJ139" s="22">
        <v>46050.0</v>
      </c>
      <c r="AK139" s="23"/>
    </row>
    <row r="140" ht="27.75" customHeight="1">
      <c r="A140" s="24"/>
      <c r="B140" s="24"/>
      <c r="C140" s="26" t="s">
        <v>73</v>
      </c>
      <c r="D140" s="24"/>
      <c r="E140" s="15"/>
      <c r="F140" s="15"/>
      <c r="G140" s="15"/>
      <c r="H140" s="16"/>
      <c r="I140" s="16">
        <v>3000.0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6"/>
      <c r="Z140" s="16"/>
      <c r="AA140" s="16"/>
      <c r="AB140" s="16"/>
      <c r="AC140" s="16"/>
      <c r="AD140" s="18">
        <f t="shared" si="27"/>
        <v>3000</v>
      </c>
      <c r="AE140" s="19"/>
      <c r="AF140" s="20"/>
      <c r="AG140" s="27" t="s">
        <v>131</v>
      </c>
      <c r="AH140" s="22">
        <v>46148.0</v>
      </c>
      <c r="AI140" s="27" t="s">
        <v>132</v>
      </c>
      <c r="AJ140" s="22" t="s">
        <v>108</v>
      </c>
      <c r="AK140" s="23"/>
    </row>
    <row r="141" ht="28.5" customHeight="1">
      <c r="A141" s="24"/>
      <c r="B141" s="24"/>
      <c r="C141" s="14" t="s">
        <v>76</v>
      </c>
      <c r="D141" s="24"/>
      <c r="E141" s="15"/>
      <c r="F141" s="15"/>
      <c r="G141" s="15"/>
      <c r="H141" s="16"/>
      <c r="I141" s="16" t="s">
        <v>108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6"/>
      <c r="Z141" s="16"/>
      <c r="AA141" s="16"/>
      <c r="AB141" s="16"/>
      <c r="AC141" s="16"/>
      <c r="AD141" s="25">
        <f t="shared" si="27"/>
        <v>0</v>
      </c>
      <c r="AE141" s="8"/>
      <c r="AF141" s="8"/>
      <c r="AG141" s="27" t="s">
        <v>133</v>
      </c>
      <c r="AH141" s="22"/>
      <c r="AI141" s="27" t="s">
        <v>134</v>
      </c>
      <c r="AJ141" s="22"/>
      <c r="AK141" s="23"/>
    </row>
    <row r="142" ht="28.5" customHeight="1">
      <c r="A142" s="24"/>
      <c r="B142" s="24"/>
      <c r="C142" s="26" t="s">
        <v>78</v>
      </c>
      <c r="D142" s="24"/>
      <c r="E142" s="15"/>
      <c r="F142" s="15"/>
      <c r="G142" s="15"/>
      <c r="H142" s="16"/>
      <c r="I142" s="16"/>
      <c r="J142" s="16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>
        <f>1508+492</f>
        <v>2000</v>
      </c>
      <c r="X142" s="17"/>
      <c r="Y142" s="16"/>
      <c r="Z142" s="16"/>
      <c r="AA142" s="16"/>
      <c r="AB142" s="16"/>
      <c r="AC142" s="16"/>
      <c r="AD142" s="28">
        <f t="shared" si="27"/>
        <v>2000</v>
      </c>
      <c r="AE142" s="29"/>
      <c r="AF142" s="30"/>
      <c r="AG142" s="27"/>
      <c r="AH142" s="22"/>
      <c r="AI142" s="27"/>
      <c r="AJ142" s="22"/>
      <c r="AK142" s="23"/>
    </row>
    <row r="143" ht="28.5" customHeight="1">
      <c r="A143" s="8"/>
      <c r="B143" s="8"/>
      <c r="C143" s="26" t="s">
        <v>79</v>
      </c>
      <c r="D143" s="8"/>
      <c r="E143" s="15"/>
      <c r="F143" s="15"/>
      <c r="G143" s="15"/>
      <c r="H143" s="16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>
        <f>W139-W142</f>
        <v>0</v>
      </c>
      <c r="X143" s="17"/>
      <c r="Y143" s="16"/>
      <c r="Z143" s="16"/>
      <c r="AA143" s="16"/>
      <c r="AB143" s="16"/>
      <c r="AC143" s="16"/>
      <c r="AD143" s="31">
        <f>AD139-AD142</f>
        <v>0</v>
      </c>
      <c r="AE143" s="29"/>
      <c r="AF143" s="30"/>
      <c r="AG143" s="27"/>
      <c r="AH143" s="22"/>
      <c r="AI143" s="27"/>
      <c r="AJ143" s="22"/>
      <c r="AK143" s="23"/>
    </row>
    <row r="144" ht="28.5" customHeight="1">
      <c r="A144" s="32">
        <v>27.0</v>
      </c>
      <c r="B144" s="33" t="s">
        <v>184</v>
      </c>
      <c r="C144" s="74" t="s">
        <v>63</v>
      </c>
      <c r="D144" s="33" t="s">
        <v>143</v>
      </c>
      <c r="E144" s="35"/>
      <c r="F144" s="35"/>
      <c r="G144" s="35"/>
      <c r="H144" s="36">
        <v>3000.0</v>
      </c>
      <c r="I144" s="36"/>
      <c r="J144" s="37"/>
      <c r="K144" s="37">
        <v>2000.0</v>
      </c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>
        <v>8000.0</v>
      </c>
      <c r="X144" s="37"/>
      <c r="Y144" s="36">
        <v>3000.0</v>
      </c>
      <c r="Z144" s="36"/>
      <c r="AA144" s="36"/>
      <c r="AB144" s="36"/>
      <c r="AC144" s="36"/>
      <c r="AD144" s="18">
        <f t="shared" ref="AD144:AD146" si="28">SUM(E144:AC144)</f>
        <v>16000</v>
      </c>
      <c r="AE144" s="38" t="s">
        <v>185</v>
      </c>
      <c r="AF144" s="39" t="s">
        <v>186</v>
      </c>
      <c r="AG144" s="21" t="s">
        <v>67</v>
      </c>
      <c r="AH144" s="22">
        <v>45987.0</v>
      </c>
      <c r="AI144" s="21" t="s">
        <v>68</v>
      </c>
      <c r="AJ144" s="22">
        <v>46078.0</v>
      </c>
      <c r="AK144" s="23"/>
    </row>
    <row r="145" ht="28.5" customHeight="1">
      <c r="A145" s="24"/>
      <c r="B145" s="24"/>
      <c r="C145" s="74" t="s">
        <v>69</v>
      </c>
      <c r="D145" s="24"/>
      <c r="E145" s="35"/>
      <c r="F145" s="35"/>
      <c r="G145" s="35"/>
      <c r="H145" s="36">
        <v>900.0</v>
      </c>
      <c r="I145" s="36"/>
      <c r="J145" s="37"/>
      <c r="K145" s="37">
        <v>900.0</v>
      </c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6">
        <v>3200.0</v>
      </c>
      <c r="X145" s="36"/>
      <c r="Y145" s="36">
        <v>1000.0</v>
      </c>
      <c r="Z145" s="36"/>
      <c r="AA145" s="36"/>
      <c r="AB145" s="36"/>
      <c r="AC145" s="36"/>
      <c r="AD145" s="25">
        <f t="shared" si="28"/>
        <v>6000</v>
      </c>
      <c r="AE145" s="8"/>
      <c r="AF145" s="8"/>
      <c r="AG145" s="21" t="s">
        <v>70</v>
      </c>
      <c r="AH145" s="22">
        <v>46079.0</v>
      </c>
      <c r="AI145" s="21" t="s">
        <v>71</v>
      </c>
      <c r="AJ145" s="22">
        <v>46085.0</v>
      </c>
      <c r="AK145" s="93" t="s">
        <v>187</v>
      </c>
    </row>
    <row r="146" ht="28.5" customHeight="1">
      <c r="A146" s="24"/>
      <c r="B146" s="24"/>
      <c r="C146" s="47" t="s">
        <v>78</v>
      </c>
      <c r="D146" s="24"/>
      <c r="E146" s="35"/>
      <c r="F146" s="35"/>
      <c r="G146" s="35"/>
      <c r="H146" s="36">
        <v>0.0</v>
      </c>
      <c r="I146" s="36"/>
      <c r="J146" s="37"/>
      <c r="K146" s="37">
        <v>195.0</v>
      </c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6">
        <v>425.0</v>
      </c>
      <c r="X146" s="36"/>
      <c r="Y146" s="36">
        <v>800.0</v>
      </c>
      <c r="Z146" s="36"/>
      <c r="AA146" s="36"/>
      <c r="AB146" s="36"/>
      <c r="AC146" s="36"/>
      <c r="AD146" s="28">
        <f t="shared" si="28"/>
        <v>1420</v>
      </c>
      <c r="AE146" s="42"/>
      <c r="AF146" s="43"/>
      <c r="AG146" s="21"/>
      <c r="AH146" s="22"/>
      <c r="AI146" s="21"/>
      <c r="AJ146" s="22"/>
      <c r="AK146" s="23"/>
    </row>
    <row r="147" ht="28.5" customHeight="1">
      <c r="A147" s="8"/>
      <c r="B147" s="8"/>
      <c r="C147" s="47" t="s">
        <v>79</v>
      </c>
      <c r="D147" s="8"/>
      <c r="E147" s="35"/>
      <c r="F147" s="35"/>
      <c r="G147" s="35"/>
      <c r="H147" s="36">
        <f>H145-H146</f>
        <v>900</v>
      </c>
      <c r="I147" s="36"/>
      <c r="J147" s="37"/>
      <c r="K147" s="36">
        <f>K145-K146</f>
        <v>705</v>
      </c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6">
        <f>W145-W146</f>
        <v>2775</v>
      </c>
      <c r="X147" s="36"/>
      <c r="Y147" s="36">
        <f>Y145-Y146</f>
        <v>200</v>
      </c>
      <c r="Z147" s="36"/>
      <c r="AA147" s="36"/>
      <c r="AB147" s="36"/>
      <c r="AC147" s="36"/>
      <c r="AD147" s="31">
        <f>AD145-AD146</f>
        <v>4580</v>
      </c>
      <c r="AE147" s="42"/>
      <c r="AF147" s="43"/>
      <c r="AG147" s="21"/>
      <c r="AH147" s="22"/>
      <c r="AI147" s="21"/>
      <c r="AJ147" s="22"/>
      <c r="AK147" s="23"/>
    </row>
    <row r="148" ht="28.5" customHeight="1">
      <c r="A148" s="32">
        <v>28.0</v>
      </c>
      <c r="B148" s="33" t="s">
        <v>188</v>
      </c>
      <c r="C148" s="74" t="s">
        <v>63</v>
      </c>
      <c r="D148" s="33" t="s">
        <v>143</v>
      </c>
      <c r="E148" s="35"/>
      <c r="F148" s="35"/>
      <c r="G148" s="35"/>
      <c r="H148" s="36"/>
      <c r="I148" s="36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>
        <v>6000.0</v>
      </c>
      <c r="X148" s="37"/>
      <c r="Y148" s="36"/>
      <c r="Z148" s="36"/>
      <c r="AA148" s="36"/>
      <c r="AB148" s="36"/>
      <c r="AC148" s="36"/>
      <c r="AD148" s="18">
        <f t="shared" ref="AD148:AD150" si="29">SUM(E148:AC148)</f>
        <v>6000</v>
      </c>
      <c r="AE148" s="38" t="s">
        <v>189</v>
      </c>
      <c r="AF148" s="39" t="s">
        <v>190</v>
      </c>
      <c r="AG148" s="21" t="s">
        <v>67</v>
      </c>
      <c r="AH148" s="22">
        <v>45975.0</v>
      </c>
      <c r="AI148" s="21" t="s">
        <v>68</v>
      </c>
      <c r="AJ148" s="22">
        <v>46079.0</v>
      </c>
      <c r="AK148" s="23"/>
    </row>
    <row r="149" ht="28.5" customHeight="1">
      <c r="A149" s="24"/>
      <c r="B149" s="24"/>
      <c r="C149" s="74" t="s">
        <v>69</v>
      </c>
      <c r="D149" s="24"/>
      <c r="E149" s="35"/>
      <c r="F149" s="35"/>
      <c r="G149" s="35"/>
      <c r="H149" s="36"/>
      <c r="I149" s="36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6">
        <v>150.0</v>
      </c>
      <c r="X149" s="36"/>
      <c r="Y149" s="36"/>
      <c r="Z149" s="36"/>
      <c r="AA149" s="36"/>
      <c r="AB149" s="36"/>
      <c r="AC149" s="36"/>
      <c r="AD149" s="25">
        <f t="shared" si="29"/>
        <v>150</v>
      </c>
      <c r="AE149" s="8"/>
      <c r="AF149" s="8"/>
      <c r="AG149" s="21" t="s">
        <v>70</v>
      </c>
      <c r="AH149" s="22">
        <v>46080.0</v>
      </c>
      <c r="AI149" s="21" t="s">
        <v>71</v>
      </c>
      <c r="AJ149" s="22">
        <v>46086.0</v>
      </c>
      <c r="AK149" s="93" t="s">
        <v>187</v>
      </c>
    </row>
    <row r="150" ht="28.5" customHeight="1">
      <c r="A150" s="24"/>
      <c r="B150" s="24"/>
      <c r="C150" s="47" t="s">
        <v>78</v>
      </c>
      <c r="D150" s="24"/>
      <c r="E150" s="35"/>
      <c r="F150" s="35"/>
      <c r="G150" s="35"/>
      <c r="H150" s="36"/>
      <c r="I150" s="36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94">
        <v>0.0</v>
      </c>
      <c r="X150" s="36"/>
      <c r="Y150" s="36"/>
      <c r="Z150" s="36"/>
      <c r="AA150" s="36"/>
      <c r="AB150" s="36"/>
      <c r="AC150" s="36"/>
      <c r="AD150" s="28">
        <f t="shared" si="29"/>
        <v>0</v>
      </c>
      <c r="AE150" s="42"/>
      <c r="AF150" s="43"/>
      <c r="AG150" s="21"/>
      <c r="AH150" s="22"/>
      <c r="AI150" s="21"/>
      <c r="AJ150" s="22"/>
      <c r="AK150" s="23"/>
    </row>
    <row r="151" ht="28.5" customHeight="1">
      <c r="A151" s="8"/>
      <c r="B151" s="8"/>
      <c r="C151" s="47" t="s">
        <v>79</v>
      </c>
      <c r="D151" s="8"/>
      <c r="E151" s="35"/>
      <c r="F151" s="35"/>
      <c r="G151" s="35"/>
      <c r="H151" s="36"/>
      <c r="I151" s="36"/>
      <c r="J151" s="37"/>
      <c r="K151" s="36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6">
        <f>W149-W150</f>
        <v>150</v>
      </c>
      <c r="X151" s="36"/>
      <c r="Y151" s="36"/>
      <c r="Z151" s="36"/>
      <c r="AA151" s="36"/>
      <c r="AB151" s="36"/>
      <c r="AC151" s="36"/>
      <c r="AD151" s="31">
        <f>AD149-AD150</f>
        <v>150</v>
      </c>
      <c r="AE151" s="42"/>
      <c r="AF151" s="43"/>
      <c r="AG151" s="21"/>
      <c r="AH151" s="22"/>
      <c r="AI151" s="21"/>
      <c r="AJ151" s="22"/>
      <c r="AK151" s="23"/>
    </row>
    <row r="152" ht="41.25" customHeight="1">
      <c r="A152" s="66">
        <v>29.0</v>
      </c>
      <c r="B152" s="67" t="s">
        <v>191</v>
      </c>
      <c r="C152" s="63" t="s">
        <v>63</v>
      </c>
      <c r="D152" s="95" t="s">
        <v>192</v>
      </c>
      <c r="E152" s="52"/>
      <c r="F152" s="52"/>
      <c r="G152" s="52"/>
      <c r="H152" s="53"/>
      <c r="I152" s="53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3">
        <v>6000.0</v>
      </c>
      <c r="X152" s="53"/>
      <c r="Y152" s="53"/>
      <c r="Z152" s="53"/>
      <c r="AA152" s="53"/>
      <c r="AB152" s="53"/>
      <c r="AC152" s="36"/>
      <c r="AD152" s="18">
        <f t="shared" ref="AD152:AD153" si="30">SUM(E152:AC152)</f>
        <v>6000</v>
      </c>
      <c r="AE152" s="38" t="s">
        <v>193</v>
      </c>
      <c r="AF152" s="39" t="s">
        <v>194</v>
      </c>
      <c r="AG152" s="21" t="s">
        <v>67</v>
      </c>
      <c r="AH152" s="22">
        <v>45957.0</v>
      </c>
      <c r="AI152" s="21" t="s">
        <v>68</v>
      </c>
      <c r="AJ152" s="22">
        <v>46082.0</v>
      </c>
      <c r="AK152" s="23"/>
    </row>
    <row r="153" ht="41.25" customHeight="1">
      <c r="A153" s="24"/>
      <c r="B153" s="24"/>
      <c r="C153" s="96" t="s">
        <v>69</v>
      </c>
      <c r="D153" s="24"/>
      <c r="E153" s="52"/>
      <c r="F153" s="52"/>
      <c r="G153" s="52"/>
      <c r="H153" s="53"/>
      <c r="I153" s="53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3">
        <v>400.0</v>
      </c>
      <c r="X153" s="53"/>
      <c r="Y153" s="53"/>
      <c r="Z153" s="53"/>
      <c r="AA153" s="53"/>
      <c r="AB153" s="53"/>
      <c r="AC153" s="36"/>
      <c r="AD153" s="25">
        <f t="shared" si="30"/>
        <v>400</v>
      </c>
      <c r="AE153" s="8"/>
      <c r="AF153" s="8"/>
      <c r="AG153" s="21" t="s">
        <v>70</v>
      </c>
      <c r="AH153" s="22">
        <v>46085.0</v>
      </c>
      <c r="AI153" s="21" t="s">
        <v>71</v>
      </c>
      <c r="AJ153" s="22">
        <v>46090.0</v>
      </c>
    </row>
    <row r="154" ht="41.25" customHeight="1">
      <c r="A154" s="24"/>
      <c r="B154" s="24"/>
      <c r="C154" s="63" t="s">
        <v>104</v>
      </c>
      <c r="D154" s="24"/>
      <c r="E154" s="52"/>
      <c r="F154" s="52"/>
      <c r="G154" s="52"/>
      <c r="H154" s="53"/>
      <c r="I154" s="53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3"/>
      <c r="X154" s="53"/>
      <c r="Y154" s="53"/>
      <c r="Z154" s="53"/>
      <c r="AA154" s="53"/>
      <c r="AB154" s="53"/>
      <c r="AC154" s="36"/>
      <c r="AD154" s="25"/>
      <c r="AE154" s="97"/>
      <c r="AF154" s="98"/>
      <c r="AG154" s="27" t="s">
        <v>131</v>
      </c>
      <c r="AH154" s="22">
        <v>46149.0</v>
      </c>
      <c r="AI154" s="27" t="s">
        <v>132</v>
      </c>
      <c r="AJ154" s="22"/>
      <c r="AK154" s="99" t="s">
        <v>195</v>
      </c>
    </row>
    <row r="155" ht="41.25" customHeight="1">
      <c r="A155" s="24"/>
      <c r="B155" s="24"/>
      <c r="C155" s="63" t="s">
        <v>78</v>
      </c>
      <c r="D155" s="24"/>
      <c r="E155" s="52"/>
      <c r="F155" s="52"/>
      <c r="G155" s="52"/>
      <c r="H155" s="53"/>
      <c r="I155" s="53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3">
        <v>0.0</v>
      </c>
      <c r="X155" s="53"/>
      <c r="Y155" s="53"/>
      <c r="Z155" s="53"/>
      <c r="AA155" s="53"/>
      <c r="AB155" s="53"/>
      <c r="AC155" s="36"/>
      <c r="AD155" s="28">
        <f>SUM(E155:AC155)</f>
        <v>0</v>
      </c>
      <c r="AE155" s="97"/>
      <c r="AF155" s="98"/>
      <c r="AG155" s="27" t="s">
        <v>133</v>
      </c>
      <c r="AH155" s="22"/>
      <c r="AI155" s="27" t="s">
        <v>134</v>
      </c>
      <c r="AJ155" s="22"/>
      <c r="AK155" s="23"/>
    </row>
    <row r="156" ht="41.25" customHeight="1">
      <c r="A156" s="8"/>
      <c r="B156" s="8"/>
      <c r="C156" s="63" t="s">
        <v>79</v>
      </c>
      <c r="D156" s="8"/>
      <c r="E156" s="52"/>
      <c r="F156" s="52"/>
      <c r="G156" s="52"/>
      <c r="H156" s="53"/>
      <c r="I156" s="53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3">
        <f>SUM(W153:W154)-W155</f>
        <v>400</v>
      </c>
      <c r="X156" s="53"/>
      <c r="Y156" s="53">
        <f>SUM(Y153:Y154)-Y155</f>
        <v>0</v>
      </c>
      <c r="Z156" s="53"/>
      <c r="AA156" s="53"/>
      <c r="AB156" s="53"/>
      <c r="AC156" s="36"/>
      <c r="AD156" s="31">
        <f>AD153-AD155</f>
        <v>400</v>
      </c>
      <c r="AE156" s="97"/>
      <c r="AF156" s="98"/>
      <c r="AG156" s="27"/>
      <c r="AH156" s="22"/>
      <c r="AI156" s="27"/>
      <c r="AJ156" s="22"/>
      <c r="AK156" s="23"/>
    </row>
    <row r="157" ht="41.25" customHeight="1">
      <c r="A157" s="32">
        <v>30.0</v>
      </c>
      <c r="B157" s="33" t="s">
        <v>196</v>
      </c>
      <c r="C157" s="47" t="s">
        <v>63</v>
      </c>
      <c r="D157" s="100" t="s">
        <v>143</v>
      </c>
      <c r="E157" s="35"/>
      <c r="F157" s="35"/>
      <c r="G157" s="35"/>
      <c r="H157" s="36"/>
      <c r="I157" s="36"/>
      <c r="J157" s="37">
        <v>3000.0</v>
      </c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6"/>
      <c r="X157" s="36"/>
      <c r="Y157" s="36"/>
      <c r="Z157" s="36"/>
      <c r="AA157" s="36"/>
      <c r="AB157" s="36"/>
      <c r="AC157" s="36"/>
      <c r="AD157" s="18">
        <f t="shared" ref="AD157:AD159" si="31">SUM(E157:AC157)</f>
        <v>3000</v>
      </c>
      <c r="AE157" s="38" t="s">
        <v>197</v>
      </c>
      <c r="AF157" s="39" t="s">
        <v>198</v>
      </c>
      <c r="AG157" s="21" t="s">
        <v>67</v>
      </c>
      <c r="AH157" s="22">
        <v>46055.0</v>
      </c>
      <c r="AI157" s="21" t="s">
        <v>68</v>
      </c>
      <c r="AJ157" s="22">
        <v>46126.0</v>
      </c>
      <c r="AK157" s="23"/>
    </row>
    <row r="158" ht="41.25" customHeight="1">
      <c r="A158" s="24"/>
      <c r="B158" s="24"/>
      <c r="C158" s="74" t="s">
        <v>69</v>
      </c>
      <c r="D158" s="24"/>
      <c r="E158" s="35"/>
      <c r="F158" s="35"/>
      <c r="G158" s="35"/>
      <c r="H158" s="36"/>
      <c r="I158" s="36"/>
      <c r="J158" s="37">
        <v>150.0</v>
      </c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6"/>
      <c r="X158" s="36"/>
      <c r="Y158" s="36"/>
      <c r="Z158" s="36"/>
      <c r="AA158" s="36"/>
      <c r="AB158" s="36"/>
      <c r="AC158" s="36"/>
      <c r="AD158" s="25">
        <f t="shared" si="31"/>
        <v>150</v>
      </c>
      <c r="AE158" s="8"/>
      <c r="AF158" s="8"/>
      <c r="AG158" s="21" t="s">
        <v>70</v>
      </c>
      <c r="AH158" s="22">
        <v>46139.0</v>
      </c>
      <c r="AI158" s="21" t="s">
        <v>71</v>
      </c>
      <c r="AJ158" s="22" t="s">
        <v>108</v>
      </c>
      <c r="AK158" s="41" t="s">
        <v>86</v>
      </c>
    </row>
    <row r="159" ht="41.25" customHeight="1">
      <c r="A159" s="24"/>
      <c r="B159" s="24"/>
      <c r="C159" s="47" t="s">
        <v>78</v>
      </c>
      <c r="D159" s="24"/>
      <c r="E159" s="35"/>
      <c r="F159" s="35"/>
      <c r="G159" s="35"/>
      <c r="H159" s="36"/>
      <c r="I159" s="36"/>
      <c r="J159" s="37">
        <v>150.0</v>
      </c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6"/>
      <c r="X159" s="36"/>
      <c r="Y159" s="36"/>
      <c r="Z159" s="36"/>
      <c r="AA159" s="36"/>
      <c r="AB159" s="36"/>
      <c r="AC159" s="36"/>
      <c r="AD159" s="28">
        <f t="shared" si="31"/>
        <v>150</v>
      </c>
      <c r="AE159" s="97"/>
      <c r="AF159" s="98"/>
      <c r="AG159" s="21"/>
      <c r="AH159" s="22"/>
      <c r="AI159" s="21"/>
      <c r="AJ159" s="22"/>
      <c r="AK159" s="23"/>
    </row>
    <row r="160" ht="41.25" customHeight="1">
      <c r="A160" s="8"/>
      <c r="B160" s="8"/>
      <c r="C160" s="47" t="s">
        <v>79</v>
      </c>
      <c r="D160" s="8"/>
      <c r="E160" s="35"/>
      <c r="F160" s="35"/>
      <c r="G160" s="35"/>
      <c r="H160" s="36"/>
      <c r="I160" s="36"/>
      <c r="J160" s="36">
        <f>J158-J159</f>
        <v>0</v>
      </c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6"/>
      <c r="X160" s="36"/>
      <c r="Y160" s="36"/>
      <c r="Z160" s="36"/>
      <c r="AA160" s="36"/>
      <c r="AB160" s="36"/>
      <c r="AC160" s="36"/>
      <c r="AD160" s="31">
        <f>AD158-AD159</f>
        <v>0</v>
      </c>
      <c r="AE160" s="97"/>
      <c r="AF160" s="98"/>
      <c r="AG160" s="21"/>
      <c r="AH160" s="22"/>
      <c r="AI160" s="21"/>
      <c r="AJ160" s="22"/>
      <c r="AK160" s="23"/>
    </row>
    <row r="161" ht="41.25" customHeight="1">
      <c r="A161" s="32">
        <v>31.0</v>
      </c>
      <c r="B161" s="33" t="s">
        <v>199</v>
      </c>
      <c r="C161" s="47" t="s">
        <v>63</v>
      </c>
      <c r="D161" s="100" t="s">
        <v>143</v>
      </c>
      <c r="E161" s="35"/>
      <c r="F161" s="35"/>
      <c r="G161" s="35"/>
      <c r="H161" s="36"/>
      <c r="I161" s="36"/>
      <c r="J161" s="37">
        <v>6000.0</v>
      </c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6"/>
      <c r="X161" s="36"/>
      <c r="Y161" s="36"/>
      <c r="Z161" s="36"/>
      <c r="AA161" s="36"/>
      <c r="AB161" s="36"/>
      <c r="AC161" s="36"/>
      <c r="AD161" s="18">
        <f t="shared" ref="AD161:AD163" si="32">SUM(E161:AC161)</f>
        <v>6000</v>
      </c>
      <c r="AE161" s="38" t="s">
        <v>200</v>
      </c>
      <c r="AF161" s="39" t="s">
        <v>201</v>
      </c>
      <c r="AG161" s="21" t="s">
        <v>67</v>
      </c>
      <c r="AH161" s="22">
        <v>45966.0</v>
      </c>
      <c r="AI161" s="21" t="s">
        <v>68</v>
      </c>
      <c r="AJ161" s="22">
        <v>46128.0</v>
      </c>
      <c r="AK161" s="23"/>
    </row>
    <row r="162" ht="41.25" customHeight="1">
      <c r="A162" s="24"/>
      <c r="B162" s="24"/>
      <c r="C162" s="74" t="s">
        <v>69</v>
      </c>
      <c r="D162" s="24"/>
      <c r="E162" s="35"/>
      <c r="F162" s="35"/>
      <c r="G162" s="35"/>
      <c r="H162" s="36"/>
      <c r="I162" s="36"/>
      <c r="J162" s="37">
        <v>100.0</v>
      </c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6"/>
      <c r="X162" s="36"/>
      <c r="Y162" s="36"/>
      <c r="Z162" s="36"/>
      <c r="AA162" s="36"/>
      <c r="AB162" s="36"/>
      <c r="AC162" s="36"/>
      <c r="AD162" s="25">
        <f t="shared" si="32"/>
        <v>100</v>
      </c>
      <c r="AE162" s="8"/>
      <c r="AF162" s="8"/>
      <c r="AG162" s="21" t="s">
        <v>70</v>
      </c>
      <c r="AH162" s="22">
        <v>46129.0</v>
      </c>
      <c r="AI162" s="21" t="s">
        <v>71</v>
      </c>
      <c r="AJ162" s="22" t="s">
        <v>108</v>
      </c>
      <c r="AK162" s="99" t="s">
        <v>202</v>
      </c>
    </row>
    <row r="163" ht="41.25" customHeight="1">
      <c r="A163" s="24"/>
      <c r="B163" s="24"/>
      <c r="C163" s="47" t="s">
        <v>78</v>
      </c>
      <c r="D163" s="24"/>
      <c r="E163" s="35"/>
      <c r="F163" s="35"/>
      <c r="G163" s="35"/>
      <c r="H163" s="36"/>
      <c r="I163" s="36"/>
      <c r="J163" s="37">
        <v>100.0</v>
      </c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6"/>
      <c r="X163" s="36"/>
      <c r="Y163" s="36"/>
      <c r="Z163" s="36"/>
      <c r="AA163" s="36"/>
      <c r="AB163" s="36"/>
      <c r="AC163" s="36"/>
      <c r="AD163" s="28">
        <f t="shared" si="32"/>
        <v>100</v>
      </c>
      <c r="AE163" s="97"/>
      <c r="AF163" s="98"/>
      <c r="AG163" s="21"/>
      <c r="AH163" s="22"/>
      <c r="AI163" s="21"/>
      <c r="AJ163" s="22"/>
      <c r="AK163" s="23"/>
    </row>
    <row r="164" ht="41.25" customHeight="1">
      <c r="A164" s="8"/>
      <c r="B164" s="8"/>
      <c r="C164" s="47" t="s">
        <v>79</v>
      </c>
      <c r="D164" s="8"/>
      <c r="E164" s="35"/>
      <c r="F164" s="35"/>
      <c r="G164" s="36"/>
      <c r="H164" s="36"/>
      <c r="I164" s="36"/>
      <c r="J164" s="36">
        <f>J162-J163</f>
        <v>0</v>
      </c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6"/>
      <c r="X164" s="36"/>
      <c r="Y164" s="36"/>
      <c r="Z164" s="36"/>
      <c r="AA164" s="36"/>
      <c r="AB164" s="36"/>
      <c r="AC164" s="36"/>
      <c r="AD164" s="31">
        <f>AD162-AD163</f>
        <v>0</v>
      </c>
      <c r="AE164" s="97"/>
      <c r="AF164" s="98"/>
      <c r="AG164" s="21"/>
      <c r="AH164" s="22"/>
      <c r="AI164" s="21"/>
      <c r="AJ164" s="22"/>
      <c r="AK164" s="23"/>
    </row>
    <row r="165" ht="40.5" customHeight="1">
      <c r="A165" s="101">
        <v>3.0</v>
      </c>
      <c r="B165" s="102" t="s">
        <v>203</v>
      </c>
      <c r="C165" s="103" t="s">
        <v>63</v>
      </c>
      <c r="D165" s="104" t="s">
        <v>143</v>
      </c>
      <c r="E165" s="105"/>
      <c r="F165" s="105"/>
      <c r="G165" s="105"/>
      <c r="H165" s="106"/>
      <c r="I165" s="106"/>
      <c r="J165" s="107">
        <v>3000.0</v>
      </c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6"/>
      <c r="Z165" s="106"/>
      <c r="AA165" s="106"/>
      <c r="AB165" s="106"/>
      <c r="AC165" s="106"/>
      <c r="AD165" s="18">
        <f t="shared" ref="AD165:AD170" si="33">SUM(E165:AC165)</f>
        <v>3000</v>
      </c>
      <c r="AE165" s="108" t="s">
        <v>197</v>
      </c>
      <c r="AF165" s="109" t="s">
        <v>204</v>
      </c>
      <c r="AG165" s="21" t="s">
        <v>67</v>
      </c>
      <c r="AH165" s="22">
        <v>46055.0</v>
      </c>
      <c r="AI165" s="21" t="s">
        <v>68</v>
      </c>
      <c r="AJ165" s="22" t="s">
        <v>108</v>
      </c>
      <c r="AK165" s="23" t="s">
        <v>204</v>
      </c>
    </row>
    <row r="166" ht="40.5" customHeight="1">
      <c r="A166" s="8"/>
      <c r="B166" s="8"/>
      <c r="C166" s="103" t="s">
        <v>69</v>
      </c>
      <c r="D166" s="8"/>
      <c r="E166" s="105"/>
      <c r="F166" s="105"/>
      <c r="G166" s="105"/>
      <c r="H166" s="106"/>
      <c r="I166" s="106"/>
      <c r="J166" s="107" t="s">
        <v>108</v>
      </c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6"/>
      <c r="Z166" s="106"/>
      <c r="AA166" s="106"/>
      <c r="AB166" s="106"/>
      <c r="AC166" s="106"/>
      <c r="AD166" s="25">
        <f t="shared" si="33"/>
        <v>0</v>
      </c>
      <c r="AE166" s="108"/>
      <c r="AF166" s="109"/>
      <c r="AG166" s="21" t="s">
        <v>70</v>
      </c>
      <c r="AH166" s="22" t="s">
        <v>108</v>
      </c>
      <c r="AI166" s="21" t="s">
        <v>71</v>
      </c>
      <c r="AJ166" s="22" t="s">
        <v>108</v>
      </c>
      <c r="AK166" s="23"/>
    </row>
    <row r="167" ht="40.5" customHeight="1">
      <c r="A167" s="101">
        <v>4.0</v>
      </c>
      <c r="B167" s="102" t="s">
        <v>205</v>
      </c>
      <c r="C167" s="103" t="s">
        <v>63</v>
      </c>
      <c r="D167" s="104" t="s">
        <v>143</v>
      </c>
      <c r="E167" s="105"/>
      <c r="F167" s="105"/>
      <c r="G167" s="105"/>
      <c r="H167" s="106"/>
      <c r="I167" s="106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6">
        <v>3000.0</v>
      </c>
      <c r="Z167" s="106"/>
      <c r="AA167" s="106"/>
      <c r="AB167" s="106"/>
      <c r="AC167" s="106"/>
      <c r="AD167" s="18">
        <f t="shared" si="33"/>
        <v>3000</v>
      </c>
      <c r="AE167" s="108" t="s">
        <v>206</v>
      </c>
      <c r="AF167" s="109"/>
      <c r="AG167" s="21" t="s">
        <v>67</v>
      </c>
      <c r="AH167" s="22">
        <v>46118.0</v>
      </c>
      <c r="AI167" s="21" t="s">
        <v>68</v>
      </c>
      <c r="AJ167" s="22" t="s">
        <v>108</v>
      </c>
      <c r="AK167" s="23"/>
    </row>
    <row r="168" ht="40.5" customHeight="1">
      <c r="A168" s="8"/>
      <c r="B168" s="8"/>
      <c r="C168" s="103" t="s">
        <v>69</v>
      </c>
      <c r="D168" s="8"/>
      <c r="E168" s="105"/>
      <c r="F168" s="105"/>
      <c r="G168" s="105"/>
      <c r="H168" s="106"/>
      <c r="I168" s="106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6" t="s">
        <v>108</v>
      </c>
      <c r="Z168" s="106"/>
      <c r="AA168" s="106"/>
      <c r="AB168" s="106"/>
      <c r="AC168" s="106"/>
      <c r="AD168" s="25">
        <f t="shared" si="33"/>
        <v>0</v>
      </c>
      <c r="AE168" s="108"/>
      <c r="AF168" s="109"/>
      <c r="AG168" s="21" t="s">
        <v>70</v>
      </c>
      <c r="AH168" s="22" t="s">
        <v>108</v>
      </c>
      <c r="AI168" s="21" t="s">
        <v>71</v>
      </c>
      <c r="AJ168" s="22" t="s">
        <v>108</v>
      </c>
      <c r="AK168" s="23"/>
    </row>
    <row r="169" ht="40.5" customHeight="1">
      <c r="A169" s="101">
        <v>5.0</v>
      </c>
      <c r="B169" s="102" t="s">
        <v>207</v>
      </c>
      <c r="C169" s="103" t="s">
        <v>63</v>
      </c>
      <c r="D169" s="104" t="s">
        <v>143</v>
      </c>
      <c r="E169" s="105"/>
      <c r="F169" s="105"/>
      <c r="G169" s="105"/>
      <c r="H169" s="106"/>
      <c r="I169" s="106">
        <v>12250.0</v>
      </c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>
        <v>1750.0</v>
      </c>
      <c r="X169" s="107"/>
      <c r="Y169" s="106">
        <v>2100.0</v>
      </c>
      <c r="Z169" s="106"/>
      <c r="AA169" s="106"/>
      <c r="AB169" s="106"/>
      <c r="AC169" s="106"/>
      <c r="AD169" s="18">
        <f t="shared" si="33"/>
        <v>16100</v>
      </c>
      <c r="AE169" s="108" t="s">
        <v>206</v>
      </c>
      <c r="AF169" s="109"/>
      <c r="AG169" s="21" t="s">
        <v>67</v>
      </c>
      <c r="AH169" s="22">
        <v>46142.0</v>
      </c>
      <c r="AI169" s="21" t="s">
        <v>68</v>
      </c>
      <c r="AJ169" s="22" t="s">
        <v>108</v>
      </c>
      <c r="AK169" s="23"/>
    </row>
    <row r="170" ht="40.5" customHeight="1">
      <c r="A170" s="8"/>
      <c r="B170" s="8"/>
      <c r="C170" s="103" t="s">
        <v>69</v>
      </c>
      <c r="D170" s="8"/>
      <c r="E170" s="105"/>
      <c r="F170" s="105"/>
      <c r="G170" s="105"/>
      <c r="H170" s="106"/>
      <c r="I170" s="106" t="s">
        <v>108</v>
      </c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6" t="s">
        <v>108</v>
      </c>
      <c r="X170" s="107"/>
      <c r="Y170" s="106" t="s">
        <v>108</v>
      </c>
      <c r="Z170" s="106"/>
      <c r="AA170" s="106"/>
      <c r="AB170" s="106"/>
      <c r="AC170" s="106"/>
      <c r="AD170" s="25">
        <f t="shared" si="33"/>
        <v>0</v>
      </c>
      <c r="AE170" s="108"/>
      <c r="AF170" s="109"/>
      <c r="AG170" s="21" t="s">
        <v>70</v>
      </c>
      <c r="AH170" s="22" t="s">
        <v>108</v>
      </c>
      <c r="AI170" s="21" t="s">
        <v>71</v>
      </c>
      <c r="AJ170" s="22" t="s">
        <v>108</v>
      </c>
      <c r="AK170" s="23"/>
    </row>
    <row r="171" ht="21.75" customHeight="1">
      <c r="A171" s="110" t="s">
        <v>208</v>
      </c>
      <c r="B171" s="111"/>
      <c r="C171" s="111"/>
      <c r="D171" s="112"/>
      <c r="E171" s="113">
        <f t="shared" ref="E171:G171" si="34">SUM(E4,E10,E16,E20,E22,E26,E28,E32,E37,E43,E49,E53,E59,E64,E69,E75,E81,E86,E92,E98,E102,E108,E112,E116,E120,E126,E132,E138,E144)</f>
        <v>0</v>
      </c>
      <c r="F171" s="113">
        <f t="shared" si="34"/>
        <v>0</v>
      </c>
      <c r="G171" s="113">
        <f t="shared" si="34"/>
        <v>0</v>
      </c>
      <c r="H171" s="113">
        <f t="shared" ref="H171:AB171" si="35">SUM(H4,H10,H6,H12,H16,H20,H22,H26,H28,H32,H37,H43,H49,H53,H55,H59,H64,H69,H71,H75,H81,H86,H92,H98,H102,H108,H112,H116,H120,H126,H132,H138,H144,H148,H152,H157,H161,H165,H169,H77,H45,H140,H128)</f>
        <v>39000</v>
      </c>
      <c r="I171" s="113">
        <f t="shared" si="35"/>
        <v>59250</v>
      </c>
      <c r="J171" s="113">
        <f t="shared" si="35"/>
        <v>93900</v>
      </c>
      <c r="K171" s="113">
        <f t="shared" si="35"/>
        <v>2000</v>
      </c>
      <c r="L171" s="113">
        <f t="shared" si="35"/>
        <v>0</v>
      </c>
      <c r="M171" s="113">
        <f t="shared" si="35"/>
        <v>0</v>
      </c>
      <c r="N171" s="113">
        <f t="shared" si="35"/>
        <v>7000</v>
      </c>
      <c r="O171" s="113">
        <f t="shared" si="35"/>
        <v>0</v>
      </c>
      <c r="P171" s="113">
        <f t="shared" si="35"/>
        <v>0</v>
      </c>
      <c r="Q171" s="113">
        <f t="shared" si="35"/>
        <v>0</v>
      </c>
      <c r="R171" s="113">
        <f t="shared" si="35"/>
        <v>0</v>
      </c>
      <c r="S171" s="113">
        <f t="shared" si="35"/>
        <v>0</v>
      </c>
      <c r="T171" s="113">
        <f t="shared" si="35"/>
        <v>0</v>
      </c>
      <c r="U171" s="113">
        <f t="shared" si="35"/>
        <v>0</v>
      </c>
      <c r="V171" s="113">
        <f t="shared" si="35"/>
        <v>0</v>
      </c>
      <c r="W171" s="113">
        <f t="shared" si="35"/>
        <v>35750</v>
      </c>
      <c r="X171" s="113">
        <f t="shared" si="35"/>
        <v>0</v>
      </c>
      <c r="Y171" s="113">
        <f t="shared" si="35"/>
        <v>5100</v>
      </c>
      <c r="Z171" s="113">
        <f t="shared" si="35"/>
        <v>0</v>
      </c>
      <c r="AA171" s="113">
        <f t="shared" si="35"/>
        <v>3000</v>
      </c>
      <c r="AB171" s="113">
        <f t="shared" si="35"/>
        <v>1000</v>
      </c>
      <c r="AC171" s="113">
        <f>SUM(AC4,AC10,AC6,AC12,AC16,AC20,AC22,AC26,AC28,AC32,AC37,AC43,AC49,AC53,AC55,AC59,AC64,AC69,AC71,AC75,AC81,AC86,AC92,AC98,AC102,AC108,AC112,AC116,AC120,AC126,AC132,AC138,AC144,AC148,AC152,AC157,AC161,AC165,AC169)</f>
        <v>0</v>
      </c>
      <c r="AD171" s="114">
        <f>SUM(AD169,AD165,AD161,AD157,AD152,AD144,AD148,AD138,AD132,AD126,AD120,AD116,AD112,AD108,AD102,AD98,AD92,AD86,AD81,AD75,AD71,AD69,AD59,AD64,AD55,AD53,AD49,AD43,AD37,AD32,AD28,AD26,AD22,AD20,AD16,AD12,AD10,AD6,AD4,AD140,AD128,AD77,AD45,AD167,AD39,AD104,AD94,AD88)</f>
        <v>260025</v>
      </c>
      <c r="AE171" s="115"/>
      <c r="AF171" s="115"/>
      <c r="AG171" s="116"/>
      <c r="AH171" s="116"/>
      <c r="AI171" s="116"/>
      <c r="AJ171" s="116"/>
      <c r="AK171" s="116"/>
    </row>
    <row r="172" ht="21.75" customHeight="1">
      <c r="A172" s="117" t="s">
        <v>209</v>
      </c>
      <c r="B172" s="111"/>
      <c r="C172" s="111"/>
      <c r="D172" s="112"/>
      <c r="E172" s="113">
        <f t="shared" ref="E172:G172" si="36">SUM(E170,E166,E162,E158,E153,E149,E145,E139,E133,E127,E121,E117,E113,E109,E103,E99,E93,E87,E82,E76,E72,E70,E65,E60,E56,E54,E50,E44,E38,E33,E29,E27,E23,E21,E17,E13,E11,E7,E5)</f>
        <v>0</v>
      </c>
      <c r="F172" s="113">
        <f t="shared" si="36"/>
        <v>0</v>
      </c>
      <c r="G172" s="113">
        <f t="shared" si="36"/>
        <v>0</v>
      </c>
      <c r="H172" s="113">
        <f t="shared" ref="H172:AB172" si="37">SUM(H170,H166,H162,H158,H153,H149,H145,H139,H133,H127,H121,H117,H113,H109,H103,H99,H93,H87,H82,H76,H72,H70,H65,H60,H56,H54,H50,H44,H38,H33,H29,H27,H23,H21,H17,H13,H11,H7,H5,H141,H129,H78,H46)</f>
        <v>3515</v>
      </c>
      <c r="I172" s="113">
        <f t="shared" si="37"/>
        <v>3600</v>
      </c>
      <c r="J172" s="113">
        <f t="shared" si="37"/>
        <v>5325</v>
      </c>
      <c r="K172" s="113">
        <f t="shared" si="37"/>
        <v>900</v>
      </c>
      <c r="L172" s="113">
        <f t="shared" si="37"/>
        <v>0</v>
      </c>
      <c r="M172" s="113">
        <f t="shared" si="37"/>
        <v>0</v>
      </c>
      <c r="N172" s="113">
        <f t="shared" si="37"/>
        <v>600</v>
      </c>
      <c r="O172" s="113">
        <f t="shared" si="37"/>
        <v>0</v>
      </c>
      <c r="P172" s="113">
        <f t="shared" si="37"/>
        <v>0</v>
      </c>
      <c r="Q172" s="113">
        <f t="shared" si="37"/>
        <v>0</v>
      </c>
      <c r="R172" s="113">
        <f t="shared" si="37"/>
        <v>0</v>
      </c>
      <c r="S172" s="113">
        <f t="shared" si="37"/>
        <v>0</v>
      </c>
      <c r="T172" s="113">
        <f t="shared" si="37"/>
        <v>0</v>
      </c>
      <c r="U172" s="113">
        <f t="shared" si="37"/>
        <v>0</v>
      </c>
      <c r="V172" s="113">
        <f t="shared" si="37"/>
        <v>0</v>
      </c>
      <c r="W172" s="113">
        <f t="shared" si="37"/>
        <v>7350</v>
      </c>
      <c r="X172" s="113">
        <f t="shared" si="37"/>
        <v>0</v>
      </c>
      <c r="Y172" s="113">
        <f t="shared" si="37"/>
        <v>1000</v>
      </c>
      <c r="Z172" s="113">
        <f t="shared" si="37"/>
        <v>0</v>
      </c>
      <c r="AA172" s="113">
        <f t="shared" si="37"/>
        <v>800</v>
      </c>
      <c r="AB172" s="113">
        <f t="shared" si="37"/>
        <v>500</v>
      </c>
      <c r="AC172" s="113">
        <f>SUM(AC170,AC166,AC162,AC158,AC153,AC149,AC145,AC139,AC133,AC127,AC121,AC117,AC113,AC109,AC103,AC99,AC93,AC87,AC82,AC76,AC72,AC70,AC65,AC60,AC56,AC54,AC50,AC44,AC38,AC33,AC29,AC27,AC23,AC21,AC17,AC13,AC11,AC7,AC5)</f>
        <v>0</v>
      </c>
      <c r="AD172" s="114">
        <f>SUM(AD5,AD7,AD11,AD13,AD17,AD21,AD23,AD27,AD29,AD33,AD38,AD44,AD50,AD54,AD56,AD60,AD65,AD70,AD76,AD82,AD87,AD93,AD99,AD103,AD109,AD113,AD117,AD121,AD127,AD133,AD139,AD145,AD149,AD153,AD158,AD162,AD166,AD170,AD141,AD129,AD78,AD72,AD46,AD168)</f>
        <v>23590</v>
      </c>
      <c r="AE172" s="115"/>
      <c r="AF172" s="115"/>
      <c r="AG172" s="118">
        <f t="shared" ref="AG172:AG173" si="40">AD172/AD171</f>
        <v>0.09072204596</v>
      </c>
      <c r="AH172" s="116"/>
      <c r="AI172" s="116"/>
      <c r="AJ172" s="116"/>
      <c r="AK172" s="116"/>
    </row>
    <row r="173" ht="21.75" customHeight="1">
      <c r="A173" s="119" t="s">
        <v>210</v>
      </c>
      <c r="B173" s="111"/>
      <c r="C173" s="111"/>
      <c r="D173" s="112"/>
      <c r="E173" s="113">
        <f t="shared" ref="E173:G173" si="38">SUM(E8,E14,E18,E24,E30,E35,E41,E47,E51,E57,E62,E67,E73,E79,E84,E90,E96,E100,E106,E110,E114,E118,E124,E130,E136,E142,E146,E150,E155)</f>
        <v>0</v>
      </c>
      <c r="F173" s="113">
        <f t="shared" si="38"/>
        <v>0</v>
      </c>
      <c r="G173" s="113">
        <f t="shared" si="38"/>
        <v>0</v>
      </c>
      <c r="H173" s="113">
        <f t="shared" ref="H173:AC173" si="39">SUM(H163,H159,H155,H150,H146,H142,H136,H130,H124,H118,H114,H110,H106,H100,H96,H90,H84,H79,H73,H67,H62,H57,H51,H47,H41,H35,H30,H24,H18,H14,H8)</f>
        <v>361</v>
      </c>
      <c r="I173" s="113">
        <f t="shared" si="39"/>
        <v>3800</v>
      </c>
      <c r="J173" s="113">
        <f t="shared" si="39"/>
        <v>5975</v>
      </c>
      <c r="K173" s="113">
        <f t="shared" si="39"/>
        <v>195</v>
      </c>
      <c r="L173" s="113">
        <f t="shared" si="39"/>
        <v>0</v>
      </c>
      <c r="M173" s="113">
        <f t="shared" si="39"/>
        <v>0</v>
      </c>
      <c r="N173" s="113">
        <f t="shared" si="39"/>
        <v>600</v>
      </c>
      <c r="O173" s="113">
        <f t="shared" si="39"/>
        <v>0</v>
      </c>
      <c r="P173" s="113">
        <f t="shared" si="39"/>
        <v>0</v>
      </c>
      <c r="Q173" s="113">
        <f t="shared" si="39"/>
        <v>0</v>
      </c>
      <c r="R173" s="113">
        <f t="shared" si="39"/>
        <v>0</v>
      </c>
      <c r="S173" s="113">
        <f t="shared" si="39"/>
        <v>0</v>
      </c>
      <c r="T173" s="113">
        <f t="shared" si="39"/>
        <v>0</v>
      </c>
      <c r="U173" s="113">
        <f t="shared" si="39"/>
        <v>0</v>
      </c>
      <c r="V173" s="113">
        <f t="shared" si="39"/>
        <v>0</v>
      </c>
      <c r="W173" s="113">
        <f t="shared" si="39"/>
        <v>4025</v>
      </c>
      <c r="X173" s="113">
        <f t="shared" si="39"/>
        <v>0</v>
      </c>
      <c r="Y173" s="113">
        <f t="shared" si="39"/>
        <v>800</v>
      </c>
      <c r="Z173" s="113">
        <f t="shared" si="39"/>
        <v>0</v>
      </c>
      <c r="AA173" s="113">
        <f t="shared" si="39"/>
        <v>515.5</v>
      </c>
      <c r="AB173" s="113">
        <f t="shared" si="39"/>
        <v>79</v>
      </c>
      <c r="AC173" s="113">
        <f t="shared" si="39"/>
        <v>0</v>
      </c>
      <c r="AD173" s="114">
        <f t="shared" ref="AD173:AD174" si="44">SUM(AD8,AD14,AD18,AD24,AD30,AD35,AD41,AD47,AD51,AD57,AD62,AD67,AD73,AD79,AD84,AD90,AD96,AD100,AD106,AD110,AD114,AD118,AD124,AD130,AD136,AD146,AD142,AD150,AD155,AD159,AD163)</f>
        <v>16350.5</v>
      </c>
      <c r="AE173" s="115"/>
      <c r="AF173" s="115"/>
      <c r="AG173" s="118">
        <f t="shared" si="40"/>
        <v>0.6931114879</v>
      </c>
      <c r="AH173" s="116"/>
      <c r="AI173" s="116"/>
      <c r="AJ173" s="116"/>
      <c r="AK173" s="116"/>
    </row>
    <row r="174" ht="21.0" customHeight="1">
      <c r="A174" s="120" t="s">
        <v>211</v>
      </c>
      <c r="B174" s="111"/>
      <c r="C174" s="111"/>
      <c r="D174" s="112"/>
      <c r="E174" s="113">
        <f t="shared" ref="E174:G174" si="41">SUM(E9,E15,E19,E25,E31,E36,E42,E48,E52,E58,E63,E68,E74,E80,E85,E91,E97,E101,E107,E111,E115,E119,E125,E131,E137,E143,E147,E151,E156)</f>
        <v>0</v>
      </c>
      <c r="F174" s="113">
        <f t="shared" si="41"/>
        <v>0</v>
      </c>
      <c r="G174" s="113">
        <f t="shared" si="41"/>
        <v>0</v>
      </c>
      <c r="H174" s="113">
        <f t="shared" ref="H174:I174" si="42">SUM(H164,H160,H156,H151,H147,H143,H137,H131,H125,H119,H115,H111,H107,H101,H97,H91,H85,H80,H74,H68,H63,H58,H52,H48,H42,H36,H31,H25,H19,H15,H9)</f>
        <v>2104</v>
      </c>
      <c r="I174" s="113">
        <f t="shared" si="42"/>
        <v>0</v>
      </c>
      <c r="J174" s="113">
        <f t="shared" ref="J174:AB174" si="43">SUM(J164,J160,J156,J151,J147,J143,J137,J131,J125,J119,J115,J111,J107,J101,J97,J91,I85,J80,J74,J68,J63,J58,J52,J48,J42,J36,J31,J25,J19,J15,J9)</f>
        <v>0</v>
      </c>
      <c r="K174" s="113">
        <f t="shared" si="43"/>
        <v>705</v>
      </c>
      <c r="L174" s="113">
        <f t="shared" si="43"/>
        <v>0</v>
      </c>
      <c r="M174" s="113">
        <f t="shared" si="43"/>
        <v>0</v>
      </c>
      <c r="N174" s="113">
        <f t="shared" si="43"/>
        <v>0</v>
      </c>
      <c r="O174" s="113">
        <f t="shared" si="43"/>
        <v>0</v>
      </c>
      <c r="P174" s="113">
        <f t="shared" si="43"/>
        <v>0</v>
      </c>
      <c r="Q174" s="113">
        <f t="shared" si="43"/>
        <v>0</v>
      </c>
      <c r="R174" s="113">
        <f t="shared" si="43"/>
        <v>0</v>
      </c>
      <c r="S174" s="113">
        <f t="shared" si="43"/>
        <v>0</v>
      </c>
      <c r="T174" s="113">
        <f t="shared" si="43"/>
        <v>0</v>
      </c>
      <c r="U174" s="113">
        <f t="shared" si="43"/>
        <v>0</v>
      </c>
      <c r="V174" s="113">
        <f t="shared" si="43"/>
        <v>0</v>
      </c>
      <c r="W174" s="113">
        <f t="shared" si="43"/>
        <v>3325</v>
      </c>
      <c r="X174" s="113">
        <f t="shared" si="43"/>
        <v>0</v>
      </c>
      <c r="Y174" s="113">
        <f t="shared" si="43"/>
        <v>200</v>
      </c>
      <c r="Z174" s="113">
        <f t="shared" si="43"/>
        <v>200</v>
      </c>
      <c r="AA174" s="113">
        <f t="shared" si="43"/>
        <v>284.5</v>
      </c>
      <c r="AB174" s="113">
        <f t="shared" si="43"/>
        <v>421</v>
      </c>
      <c r="AC174" s="113">
        <f>SUM(AC164,AC160,AC156,AC151,AC147,AC143,AC137,AC131,AC125,AC119,AC115,AC111,AC107,AC101,AC97,AC91,AC85,AC80,AC74,AC68,AC63,AC58,AC52,AC48,AC42,AC36,AC31,AC25,AC19,AC15,AC9)</f>
        <v>0</v>
      </c>
      <c r="AD174" s="121">
        <f t="shared" si="44"/>
        <v>7239.5</v>
      </c>
      <c r="AE174" s="115"/>
      <c r="AF174" s="115"/>
      <c r="AG174" s="116"/>
      <c r="AH174" s="116"/>
      <c r="AI174" s="116"/>
      <c r="AJ174" s="116"/>
      <c r="AK174" s="116"/>
    </row>
    <row r="175" ht="14.2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</row>
    <row r="176" ht="14.25" customHeight="1">
      <c r="A176" s="116"/>
      <c r="B176" s="116"/>
      <c r="C176" s="117" t="s">
        <v>209</v>
      </c>
      <c r="D176" s="111"/>
      <c r="E176" s="111"/>
      <c r="F176" s="112"/>
      <c r="G176" s="116"/>
      <c r="H176" s="122">
        <f t="shared" ref="H176:AB176" si="45">sum(H5,H7,H11,H13,H21,H23,H27,H29,H33,H38,H40,H44,H46,H50,H54,H56,H60,H65,H70,H72,H76,H78,H82,H87,H89,H93,H95,H17,H99,H103,H105,H109,H113,H117,H121,H127,H129,H133,H139,H141,H145,H149,H153,H158,H162,H166,H168,H170)</f>
        <v>3515</v>
      </c>
      <c r="I176" s="122">
        <f t="shared" si="45"/>
        <v>3600</v>
      </c>
      <c r="J176" s="122">
        <f t="shared" si="45"/>
        <v>5325</v>
      </c>
      <c r="K176" s="122">
        <f t="shared" si="45"/>
        <v>900</v>
      </c>
      <c r="L176" s="122">
        <f t="shared" si="45"/>
        <v>0</v>
      </c>
      <c r="M176" s="122">
        <f t="shared" si="45"/>
        <v>0</v>
      </c>
      <c r="N176" s="122">
        <f t="shared" si="45"/>
        <v>600</v>
      </c>
      <c r="O176" s="122">
        <f t="shared" si="45"/>
        <v>0</v>
      </c>
      <c r="P176" s="122">
        <f t="shared" si="45"/>
        <v>0</v>
      </c>
      <c r="Q176" s="122">
        <f t="shared" si="45"/>
        <v>0</v>
      </c>
      <c r="R176" s="122">
        <f t="shared" si="45"/>
        <v>0</v>
      </c>
      <c r="S176" s="122">
        <f t="shared" si="45"/>
        <v>0</v>
      </c>
      <c r="T176" s="122">
        <f t="shared" si="45"/>
        <v>0</v>
      </c>
      <c r="U176" s="122">
        <f t="shared" si="45"/>
        <v>0</v>
      </c>
      <c r="V176" s="122">
        <f t="shared" si="45"/>
        <v>0</v>
      </c>
      <c r="W176" s="122">
        <f t="shared" si="45"/>
        <v>7350</v>
      </c>
      <c r="X176" s="122">
        <f t="shared" si="45"/>
        <v>0</v>
      </c>
      <c r="Y176" s="122">
        <f t="shared" si="45"/>
        <v>1000</v>
      </c>
      <c r="Z176" s="122">
        <f t="shared" si="45"/>
        <v>0</v>
      </c>
      <c r="AA176" s="122">
        <f t="shared" si="45"/>
        <v>800</v>
      </c>
      <c r="AB176" s="122">
        <f t="shared" si="45"/>
        <v>500</v>
      </c>
      <c r="AC176" s="116"/>
      <c r="AD176" s="122">
        <f>sum(AD5,AD7,AD11,AD13,AD21,AD23,AD27,AD29,AD33,AD38,AD40,AD44,AD46,AD50,AD54,AD56,AD60,AD65,AD70,AD72,AD76,AD78,AD82,AD87,AD89,AD93,AD95,AD17,AD99,AD103,AD105,AD109,AD113,AD117,AD121,AD127,AD129,AD133,AD139,AD141,AD145,AD149,AD153,AD158,AD162,AD166,AD168,AD170)</f>
        <v>23590</v>
      </c>
      <c r="AE176" s="116"/>
      <c r="AF176" s="116"/>
      <c r="AG176" s="116"/>
      <c r="AH176" s="116"/>
      <c r="AI176" s="116"/>
      <c r="AJ176" s="116"/>
      <c r="AK176" s="116"/>
    </row>
    <row r="177" ht="14.25" customHeight="1">
      <c r="A177" s="116"/>
      <c r="B177" s="116"/>
      <c r="C177" s="119" t="s">
        <v>210</v>
      </c>
      <c r="D177" s="111"/>
      <c r="E177" s="111"/>
      <c r="F177" s="112"/>
      <c r="G177" s="116"/>
      <c r="H177" s="122">
        <f>sum(H163,H159,H155,H150,H146,H142,H136,H130,H124,H118,H114,H110,H106,H100,H96,H90,H84,H79,H73,H67,H57,H51,H47,H41,H35,H30,H24,H18,H14,H8)</f>
        <v>361</v>
      </c>
      <c r="I177" s="122">
        <f>sum(I163,I159,I155,I150,I146,I142,I136,I130,I124,I118,I114,I110,I106,I100,I96,I90,I84,I79,I73,I67,I57,I51,I47,I41,I35,I30,I24,I18,I14,I8,I62)</f>
        <v>3800</v>
      </c>
      <c r="J177" s="122">
        <f t="shared" ref="J177:Z177" si="46">sum(J163,J159,J155,J150,J146,J142,J136,J130,J124,J118,J114,J110,J106,J100,J96,J90,J84,J79,J73,J67,J57,J51,J47,J41,J35,J30,J24,J18,J14,J8)</f>
        <v>5975</v>
      </c>
      <c r="K177" s="122">
        <f t="shared" si="46"/>
        <v>195</v>
      </c>
      <c r="L177" s="122">
        <f t="shared" si="46"/>
        <v>0</v>
      </c>
      <c r="M177" s="122">
        <f t="shared" si="46"/>
        <v>0</v>
      </c>
      <c r="N177" s="122">
        <f t="shared" si="46"/>
        <v>600</v>
      </c>
      <c r="O177" s="122">
        <f t="shared" si="46"/>
        <v>0</v>
      </c>
      <c r="P177" s="122">
        <f t="shared" si="46"/>
        <v>0</v>
      </c>
      <c r="Q177" s="122">
        <f t="shared" si="46"/>
        <v>0</v>
      </c>
      <c r="R177" s="122">
        <f t="shared" si="46"/>
        <v>0</v>
      </c>
      <c r="S177" s="122">
        <f t="shared" si="46"/>
        <v>0</v>
      </c>
      <c r="T177" s="122">
        <f t="shared" si="46"/>
        <v>0</v>
      </c>
      <c r="U177" s="122">
        <f t="shared" si="46"/>
        <v>0</v>
      </c>
      <c r="V177" s="122">
        <f t="shared" si="46"/>
        <v>0</v>
      </c>
      <c r="W177" s="122">
        <f t="shared" si="46"/>
        <v>4025</v>
      </c>
      <c r="X177" s="122">
        <f t="shared" si="46"/>
        <v>0</v>
      </c>
      <c r="Y177" s="122">
        <f t="shared" si="46"/>
        <v>800</v>
      </c>
      <c r="Z177" s="122">
        <f t="shared" si="46"/>
        <v>0</v>
      </c>
      <c r="AA177" s="122">
        <f t="shared" ref="AA177:AB177" si="47">sum(AA163,AA159,AA155,AA150,AA146,AA142,AA136,AA130,AA124,AA118,AA114,AA110,AA106,AA100,AA96,AA90,AA84,AA79,AA73,AA67,AA57,AA51,AA47,AA41,AA35,AA30,AA24,AA18,AA14,AA8,AA62)</f>
        <v>515.5</v>
      </c>
      <c r="AB177" s="122">
        <f t="shared" si="47"/>
        <v>79</v>
      </c>
      <c r="AC177" s="122">
        <f>sum(AC163,AC159,AC155,AC150,AC146,AC142,AC136,AC130,AC124,AC118,AC114,AC110,AC106,AC100,AC96,AC90,AC84,AC79,AC73,AC67,AC57,AC51,AC47,AC41,AC35,AC30,AC24,AC18,AC14,AC8)</f>
        <v>0</v>
      </c>
      <c r="AD177" s="122">
        <f>sum(AD163,AD159,AD155,AD150,AD146,AD142,AD136,AD130,AD124,AD118,AD114,AD110,AD106,AD100,AD96,AD90,AD84,AD79,AD73,AD67,AD57,AD51,AD47,AD62,AD41,AD35,AD30,AD24,AD18,AD14,AD8)</f>
        <v>16350.5</v>
      </c>
      <c r="AE177" s="116"/>
      <c r="AF177" s="116"/>
      <c r="AG177" s="116"/>
      <c r="AH177" s="116"/>
      <c r="AI177" s="116"/>
      <c r="AJ177" s="116"/>
      <c r="AK177" s="116"/>
    </row>
    <row r="178" ht="14.25" customHeight="1">
      <c r="A178" s="116"/>
      <c r="B178" s="116"/>
      <c r="C178" s="120" t="s">
        <v>211</v>
      </c>
      <c r="D178" s="111"/>
      <c r="E178" s="111"/>
      <c r="F178" s="112"/>
      <c r="G178" s="116"/>
      <c r="H178" s="122">
        <f t="shared" ref="H178:AD178" si="48">SUM(H164,H160,H156,H151,H147,H143,H137,H131,H125,H119,H115,H107,H111,H101,H97,H91,H85,H80,H74,H68,H63,H58,H52,H48,H42,H36,H31,H25,H19,H15,H9)</f>
        <v>2104</v>
      </c>
      <c r="I178" s="122">
        <f t="shared" si="48"/>
        <v>0</v>
      </c>
      <c r="J178" s="122">
        <f t="shared" si="48"/>
        <v>0</v>
      </c>
      <c r="K178" s="122">
        <f t="shared" si="48"/>
        <v>705</v>
      </c>
      <c r="L178" s="122">
        <f t="shared" si="48"/>
        <v>0</v>
      </c>
      <c r="M178" s="122">
        <f t="shared" si="48"/>
        <v>0</v>
      </c>
      <c r="N178" s="122">
        <f t="shared" si="48"/>
        <v>0</v>
      </c>
      <c r="O178" s="122">
        <f t="shared" si="48"/>
        <v>0</v>
      </c>
      <c r="P178" s="122">
        <f t="shared" si="48"/>
        <v>0</v>
      </c>
      <c r="Q178" s="122">
        <f t="shared" si="48"/>
        <v>0</v>
      </c>
      <c r="R178" s="122">
        <f t="shared" si="48"/>
        <v>0</v>
      </c>
      <c r="S178" s="122">
        <f t="shared" si="48"/>
        <v>0</v>
      </c>
      <c r="T178" s="122">
        <f t="shared" si="48"/>
        <v>0</v>
      </c>
      <c r="U178" s="122">
        <f t="shared" si="48"/>
        <v>0</v>
      </c>
      <c r="V178" s="122">
        <f t="shared" si="48"/>
        <v>0</v>
      </c>
      <c r="W178" s="122">
        <f t="shared" si="48"/>
        <v>3325</v>
      </c>
      <c r="X178" s="122">
        <f t="shared" si="48"/>
        <v>0</v>
      </c>
      <c r="Y178" s="122">
        <f t="shared" si="48"/>
        <v>200</v>
      </c>
      <c r="Z178" s="122">
        <f t="shared" si="48"/>
        <v>200</v>
      </c>
      <c r="AA178" s="122">
        <f t="shared" si="48"/>
        <v>284.5</v>
      </c>
      <c r="AB178" s="122">
        <f t="shared" si="48"/>
        <v>421</v>
      </c>
      <c r="AC178" s="122">
        <f t="shared" si="48"/>
        <v>0</v>
      </c>
      <c r="AD178" s="122">
        <f t="shared" si="48"/>
        <v>7239.5</v>
      </c>
      <c r="AE178" s="116"/>
      <c r="AF178" s="116"/>
      <c r="AG178" s="116"/>
      <c r="AH178" s="116"/>
      <c r="AI178" s="116"/>
      <c r="AJ178" s="116"/>
      <c r="AK178" s="116"/>
    </row>
    <row r="179" ht="14.2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23"/>
      <c r="AE179" s="116"/>
      <c r="AF179" s="116"/>
      <c r="AG179" s="116"/>
      <c r="AH179" s="116"/>
      <c r="AI179" s="116"/>
      <c r="AJ179" s="116"/>
      <c r="AK179" s="116"/>
    </row>
    <row r="180" ht="14.2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</row>
    <row r="181" ht="14.2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</row>
    <row r="182" ht="14.25" customHeight="1">
      <c r="A182" s="116"/>
      <c r="B182" s="116"/>
      <c r="C182" s="116"/>
      <c r="D182" s="116"/>
      <c r="E182" s="116"/>
      <c r="F182" s="116"/>
      <c r="G182" s="116"/>
      <c r="H182" s="116" t="s">
        <v>212</v>
      </c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</row>
    <row r="183" ht="14.25" customHeight="1">
      <c r="A183" s="116"/>
      <c r="B183" s="116"/>
      <c r="C183" s="116"/>
      <c r="D183" s="116"/>
      <c r="E183" s="116"/>
      <c r="F183" s="116"/>
      <c r="G183" s="116"/>
      <c r="H183" s="124" t="s">
        <v>213</v>
      </c>
      <c r="I183" s="116"/>
      <c r="J183" s="116" t="s">
        <v>214</v>
      </c>
      <c r="K183" s="116" t="s">
        <v>215</v>
      </c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</row>
    <row r="184" ht="14.25" customHeight="1">
      <c r="A184" s="116"/>
      <c r="B184" s="116"/>
      <c r="C184" s="116"/>
      <c r="D184" s="116"/>
      <c r="E184" s="116"/>
      <c r="F184" s="116"/>
      <c r="G184" s="116"/>
      <c r="H184" s="124" t="s">
        <v>216</v>
      </c>
      <c r="I184" s="116"/>
      <c r="J184" s="116" t="s">
        <v>214</v>
      </c>
      <c r="K184" s="116" t="s">
        <v>217</v>
      </c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</row>
    <row r="185" ht="14.25" customHeight="1">
      <c r="A185" s="116"/>
      <c r="B185" s="116"/>
      <c r="C185" s="116"/>
      <c r="D185" s="116"/>
      <c r="E185" s="116"/>
      <c r="F185" s="116"/>
      <c r="G185" s="116"/>
      <c r="H185" s="124" t="s">
        <v>218</v>
      </c>
      <c r="I185" s="116"/>
      <c r="J185" s="116" t="s">
        <v>214</v>
      </c>
      <c r="K185" s="116" t="s">
        <v>219</v>
      </c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</row>
    <row r="186" ht="14.25" customHeight="1">
      <c r="A186" s="116"/>
      <c r="B186" s="116"/>
      <c r="C186" s="116"/>
      <c r="D186" s="116"/>
      <c r="E186" s="116"/>
      <c r="F186" s="116"/>
      <c r="G186" s="116"/>
      <c r="H186" s="124" t="s">
        <v>220</v>
      </c>
      <c r="I186" s="116"/>
      <c r="J186" s="116" t="s">
        <v>214</v>
      </c>
      <c r="K186" s="116" t="s">
        <v>221</v>
      </c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25"/>
      <c r="AE186" s="116"/>
      <c r="AF186" s="116"/>
      <c r="AG186" s="116"/>
      <c r="AH186" s="116"/>
      <c r="AI186" s="116"/>
      <c r="AJ186" s="116"/>
      <c r="AK186" s="116"/>
    </row>
    <row r="187" ht="14.25" customHeight="1">
      <c r="A187" s="116"/>
      <c r="B187" s="116"/>
      <c r="C187" s="116"/>
      <c r="D187" s="116"/>
      <c r="E187" s="116"/>
      <c r="F187" s="116"/>
      <c r="G187" s="116"/>
      <c r="H187" s="124" t="s">
        <v>222</v>
      </c>
      <c r="I187" s="116"/>
      <c r="J187" s="116" t="s">
        <v>214</v>
      </c>
      <c r="K187" s="116" t="s">
        <v>223</v>
      </c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22"/>
      <c r="AE187" s="116"/>
      <c r="AF187" s="116"/>
      <c r="AG187" s="116"/>
      <c r="AH187" s="116"/>
      <c r="AI187" s="116"/>
      <c r="AJ187" s="116"/>
      <c r="AK187" s="116"/>
    </row>
    <row r="188" ht="14.25" customHeight="1">
      <c r="A188" s="116"/>
      <c r="B188" s="116"/>
      <c r="C188" s="116"/>
      <c r="D188" s="116"/>
      <c r="E188" s="116"/>
      <c r="F188" s="116"/>
      <c r="G188" s="116"/>
      <c r="H188" s="124" t="s">
        <v>224</v>
      </c>
      <c r="I188" s="116"/>
      <c r="J188" s="116" t="s">
        <v>214</v>
      </c>
      <c r="K188" s="116" t="s">
        <v>225</v>
      </c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22"/>
      <c r="AE188" s="116"/>
      <c r="AF188" s="116"/>
      <c r="AG188" s="122"/>
      <c r="AH188" s="116"/>
      <c r="AI188" s="116"/>
      <c r="AJ188" s="116"/>
      <c r="AK188" s="116"/>
    </row>
    <row r="189" ht="14.25" customHeight="1">
      <c r="A189" s="116"/>
      <c r="B189" s="116"/>
      <c r="C189" s="116"/>
      <c r="D189" s="116"/>
      <c r="E189" s="116"/>
      <c r="F189" s="116"/>
      <c r="G189" s="116"/>
      <c r="H189" s="124" t="s">
        <v>226</v>
      </c>
      <c r="I189" s="116"/>
      <c r="J189" s="116" t="s">
        <v>214</v>
      </c>
      <c r="K189" s="116" t="s">
        <v>227</v>
      </c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22"/>
      <c r="AE189" s="116"/>
      <c r="AF189" s="116"/>
      <c r="AG189" s="116"/>
      <c r="AH189" s="116"/>
      <c r="AI189" s="116"/>
      <c r="AJ189" s="116"/>
      <c r="AK189" s="116"/>
    </row>
    <row r="190" ht="14.25" customHeight="1">
      <c r="A190" s="116"/>
      <c r="B190" s="116"/>
      <c r="C190" s="116"/>
      <c r="D190" s="116"/>
      <c r="E190" s="116"/>
      <c r="F190" s="116"/>
      <c r="G190" s="116"/>
      <c r="H190" s="124" t="s">
        <v>228</v>
      </c>
      <c r="I190" s="116"/>
      <c r="J190" s="116" t="s">
        <v>214</v>
      </c>
      <c r="K190" s="116" t="s">
        <v>229</v>
      </c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22"/>
      <c r="AE190" s="116"/>
      <c r="AF190" s="116"/>
      <c r="AG190" s="116"/>
      <c r="AH190" s="116"/>
      <c r="AI190" s="116"/>
      <c r="AJ190" s="116"/>
      <c r="AK190" s="116"/>
    </row>
    <row r="191" ht="14.25" customHeight="1">
      <c r="A191" s="116"/>
      <c r="B191" s="116"/>
      <c r="C191" s="116"/>
      <c r="D191" s="116"/>
      <c r="E191" s="116"/>
      <c r="F191" s="116"/>
      <c r="G191" s="116"/>
      <c r="H191" s="124" t="s">
        <v>230</v>
      </c>
      <c r="I191" s="116"/>
      <c r="J191" s="116" t="s">
        <v>231</v>
      </c>
      <c r="K191" s="116" t="s">
        <v>232</v>
      </c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</row>
    <row r="192" ht="14.2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</row>
    <row r="193" ht="14.2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</row>
    <row r="194" ht="14.2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</row>
    <row r="195" ht="14.2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</row>
    <row r="196" ht="14.2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</row>
    <row r="197" ht="14.2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</row>
    <row r="198" ht="14.2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</row>
    <row r="199" ht="14.2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</row>
    <row r="200" ht="14.2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</row>
    <row r="201" ht="14.2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</row>
    <row r="202" ht="14.2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</row>
    <row r="203" ht="14.2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</row>
    <row r="204" ht="14.2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</row>
    <row r="205" ht="14.2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</row>
    <row r="206" ht="14.2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</row>
    <row r="207" ht="14.2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</row>
    <row r="208" ht="14.2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</row>
    <row r="209" ht="14.2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</row>
    <row r="210" ht="14.2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</row>
    <row r="211" ht="14.2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</row>
    <row r="212" ht="14.2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</row>
    <row r="213" ht="14.2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</row>
    <row r="214" ht="14.2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</row>
    <row r="215" ht="14.2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</row>
    <row r="216" ht="14.2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</row>
    <row r="217" ht="14.2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</row>
    <row r="218" ht="14.2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</row>
    <row r="219" ht="14.2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</row>
    <row r="220" ht="14.2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</row>
    <row r="221" ht="14.2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</row>
    <row r="222" ht="14.2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</row>
    <row r="223" ht="14.2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</row>
    <row r="224" ht="14.2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</row>
    <row r="225" ht="14.2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</row>
    <row r="226" ht="14.2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</row>
    <row r="227" ht="14.2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</row>
    <row r="228" ht="14.2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</row>
    <row r="229" ht="14.2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</row>
    <row r="230" ht="14.2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</row>
    <row r="231" ht="14.2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</row>
    <row r="232" ht="14.2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</row>
    <row r="233" ht="14.2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</row>
    <row r="234" ht="14.2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</row>
    <row r="235" ht="14.2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</row>
    <row r="236" ht="14.2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</row>
    <row r="237" ht="14.2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</row>
    <row r="238" ht="14.2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</row>
    <row r="239" ht="14.2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</row>
    <row r="240" ht="14.2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</row>
    <row r="241" ht="14.2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</row>
    <row r="242" ht="14.2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</row>
    <row r="243" ht="14.2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</row>
    <row r="244" ht="14.2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</row>
    <row r="245" ht="14.2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</row>
    <row r="246" ht="14.2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</row>
    <row r="247" ht="14.2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</row>
    <row r="248" ht="14.2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</row>
    <row r="249" ht="14.2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</row>
    <row r="250" ht="14.2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</row>
    <row r="251" ht="14.2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</row>
    <row r="252" ht="14.2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</row>
    <row r="253" ht="14.2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</row>
    <row r="254" ht="14.2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</row>
    <row r="255" ht="14.2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</row>
    <row r="256" ht="14.2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</row>
    <row r="257" ht="14.2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</row>
    <row r="258" ht="14.2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</row>
    <row r="259" ht="14.2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</row>
    <row r="260" ht="14.2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</row>
    <row r="261" ht="14.2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</row>
    <row r="262" ht="14.2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</row>
    <row r="263" ht="14.2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</row>
    <row r="264" ht="14.2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</row>
    <row r="265" ht="14.2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</row>
    <row r="266" ht="14.2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</row>
    <row r="267" ht="14.2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</row>
    <row r="268" ht="14.2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</row>
    <row r="269" ht="14.2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</row>
    <row r="270" ht="14.2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</row>
    <row r="271" ht="14.2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</row>
    <row r="272" ht="14.2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</row>
    <row r="273" ht="14.2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</row>
    <row r="274" ht="14.2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</row>
    <row r="275" ht="14.2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</row>
    <row r="276" ht="14.2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</row>
    <row r="277" ht="14.2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</row>
    <row r="278" ht="14.2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</row>
    <row r="279" ht="14.2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</row>
    <row r="280" ht="14.2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</row>
    <row r="281" ht="14.2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</row>
    <row r="282" ht="14.2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</row>
    <row r="283" ht="14.2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</row>
    <row r="284" ht="14.2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</row>
    <row r="285" ht="14.2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</row>
    <row r="286" ht="14.2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</row>
    <row r="287" ht="14.2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</row>
    <row r="288" ht="14.2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</row>
    <row r="289" ht="14.2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</row>
    <row r="290" ht="14.2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</row>
    <row r="291" ht="14.2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</row>
    <row r="292" ht="14.2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</row>
    <row r="293" ht="14.2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</row>
    <row r="294" ht="14.2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</row>
    <row r="295" ht="14.2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</row>
    <row r="296" ht="14.2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</row>
    <row r="297" ht="14.2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</row>
    <row r="298" ht="14.2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</row>
    <row r="299" ht="14.2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</row>
    <row r="300" ht="14.2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</row>
    <row r="301" ht="14.2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</row>
    <row r="302" ht="14.2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</row>
    <row r="303" ht="14.2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</row>
    <row r="304" ht="14.2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</row>
    <row r="305" ht="14.2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</row>
    <row r="306" ht="14.2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</row>
    <row r="307" ht="14.2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</row>
    <row r="308" ht="14.2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</row>
    <row r="309" ht="14.2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</row>
    <row r="310" ht="14.2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</row>
    <row r="311" ht="14.2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</row>
    <row r="312" ht="14.2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</row>
    <row r="313" ht="14.2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</row>
    <row r="314" ht="14.2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</row>
    <row r="315" ht="14.2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</row>
    <row r="316" ht="14.2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</row>
    <row r="317" ht="14.2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</row>
    <row r="318" ht="14.2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</row>
    <row r="319" ht="14.2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</row>
    <row r="320" ht="14.2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</row>
    <row r="321" ht="14.2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</row>
    <row r="322" ht="14.2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</row>
    <row r="323" ht="14.2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</row>
    <row r="324" ht="14.2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</row>
    <row r="325" ht="14.2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</row>
    <row r="326" ht="14.2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</row>
    <row r="327" ht="14.2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</row>
    <row r="328" ht="14.2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</row>
    <row r="329" ht="14.2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</row>
    <row r="330" ht="14.2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</row>
    <row r="331" ht="14.2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</row>
    <row r="332" ht="14.2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</row>
    <row r="333" ht="14.2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</row>
    <row r="334" ht="14.2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</row>
    <row r="335" ht="14.2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</row>
    <row r="336" ht="14.2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</row>
    <row r="337" ht="14.2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</row>
    <row r="338" ht="14.2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</row>
    <row r="339" ht="14.2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</row>
    <row r="340" ht="14.2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</row>
    <row r="341" ht="14.2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</row>
    <row r="342" ht="14.2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</row>
    <row r="343" ht="14.2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</row>
    <row r="344" ht="14.2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</row>
    <row r="345" ht="14.2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</row>
    <row r="346" ht="14.2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</row>
    <row r="347" ht="14.2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</row>
    <row r="348" ht="14.2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</row>
    <row r="349" ht="14.2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</row>
    <row r="350" ht="14.2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</row>
    <row r="351" ht="14.2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</row>
    <row r="352" ht="14.2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</row>
    <row r="353" ht="14.2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</row>
    <row r="354" ht="14.2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</row>
    <row r="355" ht="14.2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</row>
    <row r="356" ht="14.2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</row>
    <row r="357" ht="14.2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</row>
    <row r="358" ht="14.2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</row>
    <row r="359" ht="14.2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</row>
    <row r="360" ht="14.2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</row>
    <row r="361" ht="14.2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</row>
    <row r="362" ht="14.2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</row>
    <row r="363" ht="14.2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</row>
    <row r="364" ht="14.2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</row>
    <row r="365" ht="14.2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</row>
    <row r="366" ht="14.2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</row>
    <row r="367" ht="14.2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</row>
    <row r="368" ht="14.2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</row>
    <row r="369" ht="14.2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</row>
    <row r="370" ht="14.2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</row>
    <row r="371" ht="14.2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</row>
    <row r="372" ht="14.2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</row>
    <row r="373" ht="14.2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</row>
    <row r="374" ht="14.2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</row>
    <row r="375" ht="14.2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</row>
    <row r="376" ht="14.2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</row>
    <row r="377" ht="14.2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</row>
    <row r="378" ht="14.2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</row>
    <row r="379" ht="14.2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</row>
    <row r="380" ht="14.2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</row>
    <row r="381" ht="14.2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</row>
    <row r="382" ht="14.2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</row>
    <row r="383" ht="14.2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</row>
    <row r="384" ht="14.2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</row>
    <row r="385" ht="14.2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</row>
    <row r="386" ht="14.2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</row>
    <row r="387" ht="14.2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</row>
    <row r="388" ht="14.2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</row>
    <row r="389" ht="14.2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</row>
    <row r="390" ht="14.2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</row>
    <row r="391" ht="14.2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</row>
    <row r="392" ht="14.2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</row>
    <row r="393" ht="14.2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</row>
    <row r="394" ht="14.2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</row>
    <row r="395" ht="14.2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</row>
    <row r="396" ht="14.2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</row>
    <row r="397" ht="14.2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</row>
    <row r="398" ht="14.2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</row>
    <row r="399" ht="14.2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</row>
    <row r="400" ht="14.2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</row>
    <row r="401" ht="14.2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</row>
    <row r="402" ht="14.2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</row>
    <row r="403" ht="14.2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</row>
    <row r="404" ht="14.2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</row>
    <row r="405" ht="14.2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</row>
    <row r="406" ht="14.2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</row>
    <row r="407" ht="14.2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</row>
    <row r="408" ht="14.2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</row>
    <row r="409" ht="14.2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</row>
    <row r="410" ht="14.2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</row>
    <row r="411" ht="14.2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</row>
    <row r="412" ht="14.2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</row>
    <row r="413" ht="14.2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</row>
    <row r="414" ht="14.2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</row>
    <row r="415" ht="14.2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</row>
    <row r="416" ht="14.2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</row>
    <row r="417" ht="14.2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</row>
    <row r="418" ht="14.2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</row>
    <row r="419" ht="14.2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</row>
    <row r="420" ht="14.2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</row>
    <row r="421" ht="14.2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</row>
    <row r="422" ht="14.2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</row>
    <row r="423" ht="14.2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</row>
    <row r="424" ht="14.2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</row>
    <row r="425" ht="14.2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</row>
    <row r="426" ht="14.2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</row>
    <row r="427" ht="14.2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</row>
    <row r="428" ht="14.2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</row>
    <row r="429" ht="14.2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</row>
    <row r="430" ht="14.2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</row>
    <row r="431" ht="14.2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</row>
    <row r="432" ht="14.2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</row>
    <row r="433" ht="14.2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</row>
    <row r="434" ht="14.2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</row>
    <row r="435" ht="14.2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</row>
    <row r="436" ht="14.2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</row>
    <row r="437" ht="14.2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</row>
    <row r="438" ht="14.2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</row>
    <row r="439" ht="14.2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</row>
    <row r="440" ht="14.2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</row>
    <row r="441" ht="14.2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</row>
    <row r="442" ht="14.2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</row>
    <row r="443" ht="14.2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</row>
    <row r="444" ht="14.25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</row>
    <row r="445" ht="14.25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</row>
    <row r="446" ht="14.25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</row>
    <row r="447" ht="14.25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</row>
    <row r="448" ht="14.25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</row>
    <row r="449" ht="14.25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</row>
    <row r="450" ht="14.25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</row>
    <row r="451" ht="14.25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</row>
    <row r="452" ht="14.25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</row>
    <row r="453" ht="14.25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</row>
    <row r="454" ht="14.25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</row>
    <row r="455" ht="14.25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</row>
    <row r="456" ht="14.25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</row>
    <row r="457" ht="14.25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</row>
    <row r="458" ht="14.25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</row>
    <row r="459" ht="14.25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</row>
    <row r="460" ht="14.25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</row>
    <row r="461" ht="14.25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</row>
    <row r="462" ht="14.25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</row>
    <row r="463" ht="14.25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</row>
    <row r="464" ht="14.25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</row>
    <row r="465" ht="14.25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</row>
    <row r="466" ht="14.25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</row>
    <row r="467" ht="14.25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</row>
    <row r="468" ht="14.25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</row>
    <row r="469" ht="14.25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</row>
    <row r="470" ht="14.25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</row>
    <row r="471" ht="14.25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</row>
    <row r="472" ht="14.25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</row>
    <row r="473" ht="14.25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</row>
    <row r="474" ht="14.25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</row>
    <row r="475" ht="14.25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</row>
    <row r="476" ht="14.25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</row>
    <row r="477" ht="14.25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</row>
    <row r="478" ht="14.25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</row>
    <row r="479" ht="14.25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</row>
    <row r="480" ht="14.25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</row>
    <row r="481" ht="14.25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</row>
    <row r="482" ht="14.25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</row>
    <row r="483" ht="14.25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</row>
    <row r="484" ht="14.25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</row>
    <row r="485" ht="14.25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</row>
    <row r="486" ht="14.25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</row>
    <row r="487" ht="14.25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</row>
    <row r="488" ht="14.25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</row>
    <row r="489" ht="14.25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</row>
    <row r="490" ht="14.25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</row>
    <row r="491" ht="14.25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</row>
    <row r="492" ht="14.25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</row>
    <row r="493" ht="14.25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</row>
    <row r="494" ht="14.25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</row>
    <row r="495" ht="14.25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</row>
    <row r="496" ht="14.25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</row>
    <row r="497" ht="14.25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</row>
    <row r="498" ht="14.25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</row>
    <row r="499" ht="14.25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</row>
    <row r="500" ht="14.25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</row>
    <row r="501" ht="14.25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</row>
    <row r="502" ht="14.25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</row>
    <row r="503" ht="14.25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</row>
    <row r="504" ht="14.25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</row>
    <row r="505" ht="14.25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</row>
    <row r="506" ht="14.25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</row>
    <row r="507" ht="14.25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</row>
    <row r="508" ht="14.25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</row>
    <row r="509" ht="14.25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</row>
    <row r="510" ht="14.25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</row>
    <row r="511" ht="14.25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</row>
    <row r="512" ht="14.25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</row>
    <row r="513" ht="14.25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</row>
    <row r="514" ht="14.25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</row>
    <row r="515" ht="14.25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</row>
    <row r="516" ht="14.25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</row>
    <row r="517" ht="14.25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</row>
    <row r="518" ht="14.25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</row>
    <row r="519" ht="14.25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</row>
    <row r="520" ht="14.25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</row>
    <row r="521" ht="14.25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</row>
    <row r="522" ht="14.25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</row>
    <row r="523" ht="14.25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</row>
    <row r="524" ht="14.25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</row>
    <row r="525" ht="14.25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</row>
    <row r="526" ht="14.25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</row>
    <row r="527" ht="14.25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</row>
    <row r="528" ht="14.25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</row>
    <row r="529" ht="14.25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</row>
    <row r="530" ht="14.25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</row>
    <row r="531" ht="14.25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</row>
    <row r="532" ht="14.25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</row>
    <row r="533" ht="14.25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</row>
    <row r="534" ht="14.25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</row>
    <row r="535" ht="14.25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</row>
    <row r="536" ht="14.25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</row>
    <row r="537" ht="14.25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</row>
    <row r="538" ht="14.25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</row>
    <row r="539" ht="14.25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</row>
    <row r="540" ht="14.25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</row>
    <row r="541" ht="14.25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</row>
    <row r="542" ht="14.25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</row>
    <row r="543" ht="14.25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</row>
    <row r="544" ht="14.25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</row>
    <row r="545" ht="14.25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</row>
    <row r="546" ht="14.25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</row>
    <row r="547" ht="14.25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</row>
    <row r="548" ht="14.25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</row>
    <row r="549" ht="14.25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</row>
    <row r="550" ht="14.25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</row>
    <row r="551" ht="14.2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</row>
    <row r="552" ht="14.2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</row>
    <row r="553" ht="14.2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</row>
    <row r="554" ht="14.2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</row>
    <row r="555" ht="14.2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</row>
    <row r="556" ht="14.2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</row>
    <row r="557" ht="14.2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</row>
    <row r="558" ht="14.2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</row>
    <row r="559" ht="14.2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</row>
    <row r="560" ht="14.2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</row>
    <row r="561" ht="14.2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</row>
    <row r="562" ht="14.2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</row>
    <row r="563" ht="14.2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</row>
    <row r="564" ht="14.2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</row>
    <row r="565" ht="14.2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</row>
    <row r="566" ht="14.2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</row>
    <row r="567" ht="14.2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</row>
    <row r="568" ht="14.2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</row>
    <row r="569" ht="14.2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</row>
    <row r="570" ht="14.2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</row>
    <row r="571" ht="14.2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</row>
    <row r="572" ht="14.2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</row>
    <row r="573" ht="14.2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</row>
    <row r="574" ht="14.2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</row>
    <row r="575" ht="14.2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</row>
    <row r="576" ht="14.2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</row>
    <row r="577" ht="14.2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</row>
    <row r="578" ht="14.2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</row>
    <row r="579" ht="14.2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</row>
    <row r="580" ht="14.2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</row>
    <row r="581" ht="14.2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</row>
    <row r="582" ht="14.2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</row>
    <row r="583" ht="14.2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</row>
    <row r="584" ht="14.2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</row>
    <row r="585" ht="14.2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</row>
    <row r="586" ht="14.2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</row>
    <row r="587" ht="14.2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</row>
    <row r="588" ht="14.2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</row>
    <row r="589" ht="14.2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</row>
    <row r="590" ht="14.2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</row>
    <row r="591" ht="14.2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</row>
    <row r="592" ht="14.2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</row>
    <row r="593" ht="14.2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</row>
    <row r="594" ht="14.2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</row>
    <row r="595" ht="14.2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</row>
    <row r="596" ht="14.2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</row>
    <row r="597" ht="14.2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</row>
    <row r="598" ht="14.2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</row>
    <row r="599" ht="14.2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</row>
    <row r="600" ht="14.2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</row>
    <row r="601" ht="14.2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</row>
    <row r="602" ht="14.2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</row>
    <row r="603" ht="14.2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</row>
    <row r="604" ht="14.2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</row>
    <row r="605" ht="14.2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</row>
    <row r="606" ht="14.2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</row>
    <row r="607" ht="14.2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</row>
    <row r="608" ht="14.2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</row>
    <row r="609" ht="14.2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</row>
    <row r="610" ht="14.2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</row>
    <row r="611" ht="14.2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</row>
    <row r="612" ht="14.2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</row>
    <row r="613" ht="14.2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</row>
    <row r="614" ht="14.2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</row>
    <row r="615" ht="14.2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</row>
    <row r="616" ht="14.2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</row>
    <row r="617" ht="14.2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</row>
    <row r="618" ht="14.2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</row>
    <row r="619" ht="14.2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</row>
    <row r="620" ht="14.2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</row>
    <row r="621" ht="14.2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</row>
    <row r="622" ht="14.2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</row>
    <row r="623" ht="14.2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</row>
    <row r="624" ht="14.2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</row>
    <row r="625" ht="14.2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</row>
    <row r="626" ht="14.2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</row>
    <row r="627" ht="14.2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</row>
    <row r="628" ht="14.2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</row>
    <row r="629" ht="14.2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</row>
    <row r="630" ht="14.2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</row>
    <row r="631" ht="14.2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</row>
    <row r="632" ht="14.2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</row>
    <row r="633" ht="14.2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</row>
    <row r="634" ht="14.2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</row>
    <row r="635" ht="14.2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</row>
    <row r="636" ht="14.2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</row>
    <row r="637" ht="14.2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</row>
    <row r="638" ht="14.2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</row>
    <row r="639" ht="14.2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</row>
    <row r="640" ht="14.2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</row>
    <row r="641" ht="14.2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</row>
    <row r="642" ht="14.2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</row>
    <row r="643" ht="14.2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</row>
    <row r="644" ht="14.2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</row>
    <row r="645" ht="14.2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</row>
    <row r="646" ht="14.2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</row>
    <row r="647" ht="14.2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</row>
    <row r="648" ht="14.2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</row>
    <row r="649" ht="14.2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</row>
    <row r="650" ht="14.2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</row>
    <row r="651" ht="14.2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</row>
    <row r="652" ht="14.2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</row>
    <row r="653" ht="14.2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</row>
    <row r="654" ht="14.2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</row>
    <row r="655" ht="14.2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</row>
    <row r="656" ht="14.2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</row>
    <row r="657" ht="14.2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</row>
    <row r="658" ht="14.2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</row>
    <row r="659" ht="14.2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</row>
    <row r="660" ht="14.2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</row>
    <row r="661" ht="14.2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</row>
    <row r="662" ht="14.2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</row>
    <row r="663" ht="14.2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</row>
    <row r="664" ht="14.2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</row>
    <row r="665" ht="14.2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</row>
    <row r="666" ht="14.2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</row>
    <row r="667" ht="14.2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</row>
    <row r="668" ht="14.2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</row>
    <row r="669" ht="14.2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</row>
    <row r="670" ht="14.2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</row>
    <row r="671" ht="14.2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</row>
    <row r="672" ht="14.2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</row>
    <row r="673" ht="14.2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</row>
    <row r="674" ht="14.2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</row>
    <row r="675" ht="14.2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</row>
    <row r="676" ht="14.2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</row>
    <row r="677" ht="14.2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</row>
    <row r="678" ht="14.2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</row>
    <row r="679" ht="14.2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</row>
    <row r="680" ht="14.2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</row>
    <row r="681" ht="14.2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</row>
    <row r="682" ht="14.2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</row>
    <row r="683" ht="14.2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</row>
    <row r="684" ht="14.2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</row>
    <row r="685" ht="14.2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</row>
    <row r="686" ht="14.2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</row>
    <row r="687" ht="14.2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</row>
    <row r="688" ht="14.2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</row>
    <row r="689" ht="14.2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</row>
    <row r="690" ht="14.2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</row>
    <row r="691" ht="14.2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</row>
    <row r="692" ht="14.2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</row>
    <row r="693" ht="14.2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</row>
    <row r="694" ht="14.2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</row>
    <row r="695" ht="14.2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</row>
    <row r="696" ht="14.2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</row>
    <row r="697" ht="14.2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</row>
    <row r="698" ht="14.2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</row>
    <row r="699" ht="14.2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</row>
    <row r="700" ht="14.2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</row>
    <row r="701" ht="14.2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</row>
    <row r="702" ht="14.2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</row>
    <row r="703" ht="14.2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</row>
    <row r="704" ht="14.2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</row>
    <row r="705" ht="14.2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</row>
    <row r="706" ht="14.2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</row>
    <row r="707" ht="14.2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</row>
    <row r="708" ht="14.2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</row>
    <row r="709" ht="14.2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</row>
    <row r="710" ht="14.2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</row>
    <row r="711" ht="14.2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</row>
    <row r="712" ht="14.2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</row>
    <row r="713" ht="14.2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</row>
    <row r="714" ht="14.2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</row>
    <row r="715" ht="14.2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</row>
    <row r="716" ht="14.2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</row>
    <row r="717" ht="14.2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</row>
    <row r="718" ht="14.2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</row>
    <row r="719" ht="14.2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</row>
    <row r="720" ht="14.2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</row>
    <row r="721" ht="14.2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</row>
    <row r="722" ht="14.2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</row>
    <row r="723" ht="14.2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</row>
    <row r="724" ht="14.2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</row>
    <row r="725" ht="14.2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</row>
    <row r="726" ht="14.2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</row>
    <row r="727" ht="14.2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</row>
    <row r="728" ht="14.2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</row>
    <row r="729" ht="14.2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</row>
    <row r="730" ht="14.2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</row>
    <row r="731" ht="14.2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</row>
    <row r="732" ht="14.2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</row>
    <row r="733" ht="14.2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</row>
    <row r="734" ht="14.2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</row>
    <row r="735" ht="14.2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</row>
    <row r="736" ht="14.2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</row>
    <row r="737" ht="14.2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</row>
    <row r="738" ht="14.2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</row>
    <row r="739" ht="14.2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</row>
    <row r="740" ht="14.2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</row>
    <row r="741" ht="14.2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</row>
    <row r="742" ht="14.2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</row>
    <row r="743" ht="14.2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</row>
    <row r="744" ht="14.2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</row>
    <row r="745" ht="14.2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</row>
    <row r="746" ht="14.2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</row>
    <row r="747" ht="14.2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</row>
    <row r="748" ht="14.2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</row>
    <row r="749" ht="14.2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</row>
    <row r="750" ht="14.2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</row>
    <row r="751" ht="14.2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</row>
    <row r="752" ht="14.2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</row>
    <row r="753" ht="14.2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</row>
    <row r="754" ht="14.2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</row>
    <row r="755" ht="14.2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</row>
    <row r="756" ht="14.2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</row>
    <row r="757" ht="14.2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</row>
    <row r="758" ht="14.2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</row>
    <row r="759" ht="14.2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</row>
    <row r="760" ht="14.2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</row>
    <row r="761" ht="14.2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</row>
    <row r="762" ht="14.2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</row>
    <row r="763" ht="14.2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</row>
    <row r="764" ht="14.2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</row>
    <row r="765" ht="14.2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</row>
    <row r="766" ht="14.2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</row>
    <row r="767" ht="14.2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</row>
    <row r="768" ht="14.2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</row>
    <row r="769" ht="14.2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</row>
    <row r="770" ht="14.2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</row>
    <row r="771" ht="14.2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</row>
    <row r="772" ht="14.2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</row>
    <row r="773" ht="14.2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</row>
    <row r="774" ht="14.2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</row>
    <row r="775" ht="14.2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</row>
    <row r="776" ht="14.2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</row>
    <row r="777" ht="14.2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</row>
    <row r="778" ht="14.2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</row>
    <row r="779" ht="14.2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</row>
    <row r="780" ht="14.2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</row>
    <row r="781" ht="14.2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</row>
    <row r="782" ht="14.2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</row>
    <row r="783" ht="14.2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</row>
    <row r="784" ht="14.2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</row>
    <row r="785" ht="14.2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</row>
    <row r="786" ht="14.2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</row>
    <row r="787" ht="14.2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</row>
    <row r="788" ht="14.2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</row>
    <row r="789" ht="14.2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</row>
    <row r="790" ht="14.2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</row>
    <row r="791" ht="14.2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</row>
    <row r="792" ht="14.2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</row>
    <row r="793" ht="14.2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</row>
    <row r="794" ht="14.2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</row>
    <row r="795" ht="14.2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</row>
    <row r="796" ht="14.2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</row>
    <row r="797" ht="14.2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</row>
    <row r="798" ht="14.2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</row>
    <row r="799" ht="14.2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</row>
    <row r="800" ht="14.2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</row>
    <row r="801" ht="14.2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</row>
    <row r="802" ht="14.2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</row>
    <row r="803" ht="14.2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</row>
    <row r="804" ht="14.2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</row>
    <row r="805" ht="14.2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</row>
    <row r="806" ht="14.2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</row>
    <row r="807" ht="14.2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</row>
    <row r="808" ht="14.2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</row>
    <row r="809" ht="14.2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</row>
    <row r="810" ht="14.2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</row>
    <row r="811" ht="14.2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</row>
    <row r="812" ht="14.2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</row>
    <row r="813" ht="14.2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</row>
    <row r="814" ht="14.2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</row>
    <row r="815" ht="14.2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</row>
    <row r="816" ht="14.2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</row>
    <row r="817" ht="14.2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</row>
    <row r="818" ht="14.2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</row>
    <row r="819" ht="14.2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</row>
    <row r="820" ht="14.2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</row>
    <row r="821" ht="14.2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</row>
    <row r="822" ht="14.2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</row>
    <row r="823" ht="14.2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</row>
    <row r="824" ht="14.2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</row>
    <row r="825" ht="14.2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</row>
    <row r="826" ht="14.2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</row>
    <row r="827" ht="14.2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</row>
    <row r="828" ht="14.2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</row>
    <row r="829" ht="14.2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</row>
    <row r="830" ht="14.2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</row>
    <row r="831" ht="14.2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</row>
    <row r="832" ht="14.2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</row>
    <row r="833" ht="14.2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</row>
    <row r="834" ht="14.2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</row>
    <row r="835" ht="14.2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</row>
    <row r="836" ht="14.2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</row>
    <row r="837" ht="14.2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</row>
    <row r="838" ht="14.2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</row>
    <row r="839" ht="14.2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</row>
    <row r="840" ht="14.2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</row>
    <row r="841" ht="14.2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</row>
    <row r="842" ht="14.2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</row>
    <row r="843" ht="14.2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</row>
    <row r="844" ht="14.2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</row>
    <row r="845" ht="14.2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</row>
    <row r="846" ht="14.2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</row>
    <row r="847" ht="14.2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</row>
    <row r="848" ht="14.2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</row>
    <row r="849" ht="14.2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</row>
    <row r="850" ht="14.2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</row>
    <row r="851" ht="14.2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</row>
    <row r="852" ht="14.2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</row>
    <row r="853" ht="14.2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</row>
    <row r="854" ht="14.2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</row>
    <row r="855" ht="14.2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</row>
    <row r="856" ht="14.2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</row>
    <row r="857" ht="14.2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</row>
    <row r="858" ht="14.2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</row>
    <row r="859" ht="14.2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</row>
    <row r="860" ht="14.2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</row>
    <row r="861" ht="14.2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</row>
    <row r="862" ht="14.2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</row>
    <row r="863" ht="14.2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</row>
    <row r="864" ht="14.2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</row>
    <row r="865" ht="14.2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</row>
    <row r="866" ht="14.2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</row>
    <row r="867" ht="14.2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</row>
    <row r="868" ht="14.2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</row>
    <row r="869" ht="14.2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</row>
    <row r="870" ht="14.2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</row>
    <row r="871" ht="14.2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</row>
    <row r="872" ht="14.2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</row>
    <row r="873" ht="14.2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</row>
    <row r="874" ht="14.2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</row>
    <row r="875" ht="14.2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</row>
    <row r="876" ht="14.2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</row>
    <row r="877" ht="14.2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</row>
    <row r="878" ht="14.2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</row>
    <row r="879" ht="14.2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</row>
    <row r="880" ht="14.2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</row>
    <row r="881" ht="14.2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</row>
    <row r="882" ht="14.2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</row>
    <row r="883" ht="14.2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</row>
    <row r="884" ht="14.2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</row>
    <row r="885" ht="14.2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</row>
    <row r="886" ht="14.2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</row>
    <row r="887" ht="14.2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</row>
    <row r="888" ht="14.2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</row>
    <row r="889" ht="14.2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</row>
    <row r="890" ht="14.2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</row>
    <row r="891" ht="14.25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</row>
    <row r="892" ht="14.2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</row>
    <row r="893" ht="14.2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</row>
    <row r="894" ht="14.2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</row>
    <row r="895" ht="14.2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</row>
    <row r="896" ht="14.2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</row>
    <row r="897" ht="14.2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</row>
    <row r="898" ht="14.2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</row>
    <row r="899" ht="14.2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</row>
    <row r="900" ht="14.2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</row>
    <row r="901" ht="14.2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</row>
    <row r="902" ht="14.2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</row>
    <row r="903" ht="14.2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</row>
    <row r="904" ht="14.2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</row>
    <row r="905" ht="14.2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</row>
    <row r="906" ht="14.2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</row>
    <row r="907" ht="14.2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</row>
    <row r="908" ht="14.2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</row>
    <row r="909" ht="14.2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</row>
    <row r="910" ht="14.2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</row>
    <row r="911" ht="14.2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</row>
    <row r="912" ht="14.2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</row>
    <row r="913" ht="14.2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</row>
    <row r="914" ht="14.2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</row>
    <row r="915" ht="14.2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</row>
    <row r="916" ht="14.2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</row>
    <row r="917" ht="14.2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</row>
    <row r="918" ht="14.2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</row>
    <row r="919" ht="14.2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</row>
    <row r="920" ht="14.2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</row>
    <row r="921" ht="14.2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</row>
    <row r="922" ht="14.2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</row>
    <row r="923" ht="14.2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</row>
    <row r="924" ht="14.2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</row>
    <row r="925" ht="14.2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</row>
    <row r="926" ht="14.2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</row>
    <row r="927" ht="14.2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</row>
    <row r="928" ht="14.2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</row>
    <row r="929" ht="14.2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</row>
    <row r="930" ht="14.2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</row>
    <row r="931" ht="14.2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</row>
    <row r="932" ht="14.2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</row>
    <row r="933" ht="14.2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</row>
    <row r="934" ht="14.2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</row>
    <row r="935" ht="14.2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</row>
    <row r="936" ht="14.2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</row>
    <row r="937" ht="14.2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</row>
    <row r="938" ht="14.2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</row>
    <row r="939" ht="14.2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</row>
    <row r="940" ht="14.2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</row>
    <row r="941" ht="14.2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</row>
    <row r="942" ht="14.2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</row>
    <row r="943" ht="14.2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</row>
    <row r="944" ht="14.2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</row>
    <row r="945" ht="14.2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</row>
    <row r="946" ht="14.2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</row>
    <row r="947" ht="14.2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</row>
    <row r="948" ht="14.2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</row>
    <row r="949" ht="14.2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</row>
    <row r="950" ht="14.2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</row>
    <row r="951" ht="14.2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</row>
    <row r="952" ht="14.2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</row>
    <row r="953" ht="14.2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</row>
    <row r="954" ht="14.25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</row>
    <row r="955" ht="14.25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</row>
    <row r="956" ht="14.25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</row>
    <row r="957" ht="14.25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</row>
    <row r="958" ht="14.25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</row>
    <row r="959" ht="14.25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</row>
    <row r="960" ht="14.25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</row>
    <row r="961" ht="14.25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</row>
    <row r="962" ht="14.25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</row>
    <row r="963" ht="14.25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</row>
    <row r="964" ht="14.25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</row>
    <row r="965" ht="14.25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</row>
    <row r="966" ht="14.25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</row>
    <row r="967" ht="14.25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</row>
    <row r="968" ht="14.25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</row>
    <row r="969" ht="14.25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</row>
    <row r="970" ht="14.25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</row>
    <row r="971" ht="14.25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</row>
    <row r="972" ht="14.25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</row>
    <row r="973" ht="14.25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</row>
    <row r="974" ht="14.25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</row>
    <row r="975" ht="14.25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</row>
    <row r="976" ht="14.25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</row>
    <row r="977" ht="14.25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</row>
    <row r="978" ht="14.25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</row>
    <row r="979" ht="14.25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</row>
    <row r="980" ht="14.25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</row>
    <row r="981" ht="14.25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</row>
    <row r="982" ht="14.25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</row>
    <row r="983" ht="14.25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</row>
    <row r="984" ht="14.25" customHeigh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</row>
    <row r="985" ht="14.25" customHeigh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</row>
    <row r="986" ht="14.25" customHeigh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</row>
    <row r="987" ht="14.25" customHeigh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</row>
    <row r="988" ht="14.25" customHeigh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</row>
    <row r="989" ht="14.25" customHeigh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</row>
    <row r="990" ht="14.25" customHeigh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</row>
    <row r="991" ht="14.25" customHeight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</row>
    <row r="992" ht="14.25" customHeight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</row>
    <row r="993" ht="14.25" customHeight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</row>
    <row r="994" ht="14.25" customHeight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</row>
    <row r="995" ht="14.25" customHeight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</row>
    <row r="996" ht="14.25" customHeight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</row>
    <row r="997" ht="14.25" customHeight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</row>
    <row r="998" ht="14.25" customHeight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</row>
    <row r="999" ht="14.25" customHeight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</row>
    <row r="1000" ht="14.25" customHeight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</row>
  </sheetData>
  <autoFilter ref="$A$2:$AK$174"/>
  <mergeCells count="210">
    <mergeCell ref="A2:A3"/>
    <mergeCell ref="B2:B3"/>
    <mergeCell ref="C2:D2"/>
    <mergeCell ref="AD2:AD3"/>
    <mergeCell ref="AE2:AE3"/>
    <mergeCell ref="AF2:AF3"/>
    <mergeCell ref="AG2:AG3"/>
    <mergeCell ref="AH2:AH3"/>
    <mergeCell ref="AI2:AI3"/>
    <mergeCell ref="AJ2:AJ3"/>
    <mergeCell ref="AK2:AK3"/>
    <mergeCell ref="AE4:AE5"/>
    <mergeCell ref="AF4:AF5"/>
    <mergeCell ref="AF6:AF7"/>
    <mergeCell ref="D10:D15"/>
    <mergeCell ref="D16:D17"/>
    <mergeCell ref="D20:D25"/>
    <mergeCell ref="D26:D31"/>
    <mergeCell ref="D32:D33"/>
    <mergeCell ref="D37:D42"/>
    <mergeCell ref="A4:A9"/>
    <mergeCell ref="B4:B9"/>
    <mergeCell ref="D4:D9"/>
    <mergeCell ref="A10:A15"/>
    <mergeCell ref="B10:B15"/>
    <mergeCell ref="A16:A19"/>
    <mergeCell ref="B16:B18"/>
    <mergeCell ref="AE6:AE7"/>
    <mergeCell ref="AE10:AE11"/>
    <mergeCell ref="AF10:AF11"/>
    <mergeCell ref="AE12:AE13"/>
    <mergeCell ref="AF12:AF13"/>
    <mergeCell ref="AE16:AE17"/>
    <mergeCell ref="AF16:AF17"/>
    <mergeCell ref="AE20:AE21"/>
    <mergeCell ref="AF20:AF21"/>
    <mergeCell ref="AE22:AE23"/>
    <mergeCell ref="AF22:AF23"/>
    <mergeCell ref="AE26:AE27"/>
    <mergeCell ref="AF26:AF27"/>
    <mergeCell ref="AF28:AF29"/>
    <mergeCell ref="AE28:AE29"/>
    <mergeCell ref="AE32:AE33"/>
    <mergeCell ref="AF32:AF33"/>
    <mergeCell ref="AE37:AE38"/>
    <mergeCell ref="AF37:AF38"/>
    <mergeCell ref="AE39:AE40"/>
    <mergeCell ref="AF39:AF40"/>
    <mergeCell ref="A81:A85"/>
    <mergeCell ref="A86:A91"/>
    <mergeCell ref="B86:B91"/>
    <mergeCell ref="A92:A97"/>
    <mergeCell ref="B92:B97"/>
    <mergeCell ref="A98:A101"/>
    <mergeCell ref="B98:B101"/>
    <mergeCell ref="A102:A107"/>
    <mergeCell ref="B102:B107"/>
    <mergeCell ref="A108:A111"/>
    <mergeCell ref="B108:B111"/>
    <mergeCell ref="A112:A115"/>
    <mergeCell ref="B112:B115"/>
    <mergeCell ref="B116:B119"/>
    <mergeCell ref="A116:A119"/>
    <mergeCell ref="A120:A125"/>
    <mergeCell ref="B120:B125"/>
    <mergeCell ref="A126:A131"/>
    <mergeCell ref="B126:B131"/>
    <mergeCell ref="A132:A137"/>
    <mergeCell ref="B132:B137"/>
    <mergeCell ref="A152:A156"/>
    <mergeCell ref="A157:A160"/>
    <mergeCell ref="A161:A164"/>
    <mergeCell ref="A165:A166"/>
    <mergeCell ref="A167:A168"/>
    <mergeCell ref="A169:A170"/>
    <mergeCell ref="B157:B160"/>
    <mergeCell ref="B161:B164"/>
    <mergeCell ref="B165:B166"/>
    <mergeCell ref="B167:B168"/>
    <mergeCell ref="B169:B170"/>
    <mergeCell ref="C176:F176"/>
    <mergeCell ref="C177:F177"/>
    <mergeCell ref="C178:F178"/>
    <mergeCell ref="A138:A143"/>
    <mergeCell ref="B138:B143"/>
    <mergeCell ref="A144:A147"/>
    <mergeCell ref="B144:B147"/>
    <mergeCell ref="A148:A151"/>
    <mergeCell ref="B148:B151"/>
    <mergeCell ref="B152:B156"/>
    <mergeCell ref="A37:A42"/>
    <mergeCell ref="A43:A48"/>
    <mergeCell ref="D43:D48"/>
    <mergeCell ref="D49:D50"/>
    <mergeCell ref="A20:A25"/>
    <mergeCell ref="B20:B25"/>
    <mergeCell ref="A26:A31"/>
    <mergeCell ref="B26:B31"/>
    <mergeCell ref="A32:A36"/>
    <mergeCell ref="B32:B35"/>
    <mergeCell ref="B37:B42"/>
    <mergeCell ref="B43:B48"/>
    <mergeCell ref="A49:A52"/>
    <mergeCell ref="B49:B51"/>
    <mergeCell ref="A53:A58"/>
    <mergeCell ref="B53:B58"/>
    <mergeCell ref="A59:A63"/>
    <mergeCell ref="B59:B63"/>
    <mergeCell ref="A64:A68"/>
    <mergeCell ref="B64:B68"/>
    <mergeCell ref="A69:A74"/>
    <mergeCell ref="B69:B74"/>
    <mergeCell ref="A75:A80"/>
    <mergeCell ref="B75:B80"/>
    <mergeCell ref="B81:B85"/>
    <mergeCell ref="D53:D58"/>
    <mergeCell ref="D59:D63"/>
    <mergeCell ref="D64:D68"/>
    <mergeCell ref="D69:D74"/>
    <mergeCell ref="D75:D80"/>
    <mergeCell ref="D81:D85"/>
    <mergeCell ref="D86:D91"/>
    <mergeCell ref="D92:D97"/>
    <mergeCell ref="D98:D101"/>
    <mergeCell ref="D102:D107"/>
    <mergeCell ref="D108:D111"/>
    <mergeCell ref="D112:D115"/>
    <mergeCell ref="D116:D119"/>
    <mergeCell ref="D120:D125"/>
    <mergeCell ref="D161:D164"/>
    <mergeCell ref="D165:D166"/>
    <mergeCell ref="D167:D168"/>
    <mergeCell ref="D169:D170"/>
    <mergeCell ref="A171:D171"/>
    <mergeCell ref="A172:D172"/>
    <mergeCell ref="A173:D173"/>
    <mergeCell ref="A174:D174"/>
    <mergeCell ref="D126:D131"/>
    <mergeCell ref="D132:D137"/>
    <mergeCell ref="D138:D143"/>
    <mergeCell ref="D144:D147"/>
    <mergeCell ref="D148:D151"/>
    <mergeCell ref="D152:D156"/>
    <mergeCell ref="D157:D160"/>
    <mergeCell ref="AF81:AF82"/>
    <mergeCell ref="AF86:AF87"/>
    <mergeCell ref="AF88:AF89"/>
    <mergeCell ref="AF92:AF93"/>
    <mergeCell ref="AF94:AF95"/>
    <mergeCell ref="AF98:AF99"/>
    <mergeCell ref="AF102:AF103"/>
    <mergeCell ref="AF104:AF105"/>
    <mergeCell ref="AF108:AF109"/>
    <mergeCell ref="AF112:AF113"/>
    <mergeCell ref="AF116:AF117"/>
    <mergeCell ref="AF120:AF121"/>
    <mergeCell ref="AF126:AF127"/>
    <mergeCell ref="AF128:AF129"/>
    <mergeCell ref="AE43:AE44"/>
    <mergeCell ref="AF43:AF44"/>
    <mergeCell ref="AE45:AE46"/>
    <mergeCell ref="AF45:AF46"/>
    <mergeCell ref="AE49:AE50"/>
    <mergeCell ref="AF49:AF50"/>
    <mergeCell ref="AF53:AF54"/>
    <mergeCell ref="AE53:AE54"/>
    <mergeCell ref="AE55:AE56"/>
    <mergeCell ref="AE59:AE60"/>
    <mergeCell ref="AE64:AE65"/>
    <mergeCell ref="AE69:AE70"/>
    <mergeCell ref="AE71:AE72"/>
    <mergeCell ref="AE75:AE76"/>
    <mergeCell ref="AF55:AF56"/>
    <mergeCell ref="AF59:AF60"/>
    <mergeCell ref="AF64:AF65"/>
    <mergeCell ref="AF69:AF70"/>
    <mergeCell ref="AF71:AF72"/>
    <mergeCell ref="AF75:AF76"/>
    <mergeCell ref="AF77:AF78"/>
    <mergeCell ref="AE77:AE78"/>
    <mergeCell ref="AE81:AE82"/>
    <mergeCell ref="AE86:AE87"/>
    <mergeCell ref="AE88:AE89"/>
    <mergeCell ref="AE92:AE93"/>
    <mergeCell ref="AE94:AE95"/>
    <mergeCell ref="AE98:AE99"/>
    <mergeCell ref="AE102:AE103"/>
    <mergeCell ref="AE104:AE105"/>
    <mergeCell ref="AE108:AE109"/>
    <mergeCell ref="AE112:AE113"/>
    <mergeCell ref="AE116:AE117"/>
    <mergeCell ref="AE120:AE121"/>
    <mergeCell ref="AE126:AE127"/>
    <mergeCell ref="AF132:AF133"/>
    <mergeCell ref="AF138:AF139"/>
    <mergeCell ref="AF140:AF141"/>
    <mergeCell ref="AF144:AF145"/>
    <mergeCell ref="AF148:AF149"/>
    <mergeCell ref="AF152:AF153"/>
    <mergeCell ref="AF157:AF158"/>
    <mergeCell ref="AF161:AF162"/>
    <mergeCell ref="AE157:AE158"/>
    <mergeCell ref="AE161:AE162"/>
    <mergeCell ref="AE128:AE129"/>
    <mergeCell ref="AE132:AE133"/>
    <mergeCell ref="AE138:AE139"/>
    <mergeCell ref="AE140:AE141"/>
    <mergeCell ref="AE144:AE145"/>
    <mergeCell ref="AE148:AE149"/>
    <mergeCell ref="AE152:AE15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2026-03-02T01:57:21Z</dcterms:created>
  <dc:creator>Putri Aulia Syahadatain</dc:creator>
</cp:coreProperties>
</file>